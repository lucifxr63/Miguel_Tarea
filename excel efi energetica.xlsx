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guel\Desktop\PONELE WENO LUCI\"/>
    </mc:Choice>
  </mc:AlternateContent>
  <xr:revisionPtr revIDLastSave="0" documentId="8_{0A5946F3-BA00-43CA-B5BC-29BED5006DB9}" xr6:coauthVersionLast="47" xr6:coauthVersionMax="47" xr10:uidLastSave="{00000000-0000-0000-0000-000000000000}"/>
  <bookViews>
    <workbookView xWindow="-120" yWindow="-120" windowWidth="29040" windowHeight="16440" xr2:uid="{753EAB47-BF04-234D-B7C9-62A5F869E697}"/>
  </bookViews>
  <sheets>
    <sheet name="Caso post mejora (+ corrección)" sheetId="2" r:id="rId1"/>
    <sheet name="Evaluación financier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D7" i="4" s="1"/>
  <c r="F7" i="4"/>
  <c r="C22" i="4"/>
  <c r="S54" i="2"/>
  <c r="S55" i="2"/>
  <c r="S56" i="2"/>
  <c r="S57" i="2"/>
  <c r="S58" i="2"/>
  <c r="F36" i="2"/>
  <c r="E36" i="2"/>
  <c r="S38" i="2"/>
  <c r="T38" i="2"/>
  <c r="U38" i="2"/>
  <c r="V38" i="2"/>
  <c r="U39" i="2"/>
  <c r="R27" i="2" s="1"/>
  <c r="V39" i="2"/>
  <c r="U40" i="2"/>
  <c r="V40" i="2"/>
  <c r="U41" i="2"/>
  <c r="V41" i="2"/>
  <c r="V42" i="2"/>
  <c r="S43" i="2"/>
  <c r="T43" i="2"/>
  <c r="U43" i="2"/>
  <c r="C15" i="4"/>
  <c r="C5" i="4" s="1"/>
  <c r="D5" i="4" s="1"/>
  <c r="E9" i="4"/>
  <c r="C35" i="4"/>
  <c r="C8" i="4" s="1"/>
  <c r="D8" i="4" s="1"/>
  <c r="C21" i="4"/>
  <c r="C28" i="4"/>
  <c r="C29" i="4" s="1"/>
  <c r="C6" i="4" s="1"/>
  <c r="F6" i="4"/>
  <c r="F8" i="4"/>
  <c r="F5" i="4"/>
  <c r="R26" i="2"/>
  <c r="T29" i="2"/>
  <c r="U29" i="2"/>
  <c r="V29" i="2"/>
  <c r="R29" i="2"/>
  <c r="S28" i="2"/>
  <c r="M17" i="2"/>
  <c r="N17" i="2" s="1"/>
  <c r="M16" i="2"/>
  <c r="N16" i="2" s="1"/>
  <c r="M15" i="2"/>
  <c r="N15" i="2" s="1"/>
  <c r="M13" i="2"/>
  <c r="N13" i="2" s="1"/>
  <c r="M12" i="2"/>
  <c r="N12" i="2" s="1"/>
  <c r="H24" i="2"/>
  <c r="N24" i="2"/>
  <c r="H25" i="2"/>
  <c r="N25" i="2"/>
  <c r="H26" i="2"/>
  <c r="N26" i="2"/>
  <c r="H27" i="2"/>
  <c r="N27" i="2"/>
  <c r="H28" i="2"/>
  <c r="N28" i="2"/>
  <c r="H29" i="2"/>
  <c r="N29" i="2"/>
  <c r="H30" i="2"/>
  <c r="H31" i="2"/>
  <c r="H32" i="2"/>
  <c r="N32" i="2"/>
  <c r="H33" i="2"/>
  <c r="M33" i="2"/>
  <c r="N33" i="2" s="1"/>
  <c r="H34" i="2"/>
  <c r="H35" i="2"/>
  <c r="G36" i="2"/>
  <c r="G6" i="2"/>
  <c r="N6" i="2"/>
  <c r="T6" i="2"/>
  <c r="U6" i="2" s="1"/>
  <c r="L30" i="2" s="1"/>
  <c r="G7" i="2"/>
  <c r="N7" i="2"/>
  <c r="T7" i="2"/>
  <c r="G8" i="2"/>
  <c r="N8" i="2"/>
  <c r="T8" i="2"/>
  <c r="U8" i="2" s="1"/>
  <c r="G9" i="2"/>
  <c r="N9" i="2"/>
  <c r="T9" i="2"/>
  <c r="U9" i="2" s="1"/>
  <c r="G10" i="2"/>
  <c r="N10" i="2"/>
  <c r="T10" i="2"/>
  <c r="U10" i="2" s="1"/>
  <c r="L35" i="2" s="1"/>
  <c r="M35" i="2" s="1"/>
  <c r="N35" i="2" s="1"/>
  <c r="G11" i="2"/>
  <c r="N11" i="2"/>
  <c r="G12" i="2"/>
  <c r="G13" i="2"/>
  <c r="G14" i="2"/>
  <c r="N14" i="2"/>
  <c r="G15" i="2"/>
  <c r="G16" i="2"/>
  <c r="G17" i="2"/>
  <c r="E18" i="2"/>
  <c r="F18" i="2"/>
  <c r="L18" i="2"/>
  <c r="F9" i="4" l="1"/>
  <c r="D43" i="4" s="1"/>
  <c r="E43" i="4" s="1"/>
  <c r="F43" i="4" s="1"/>
  <c r="G43" i="4" s="1"/>
  <c r="H43" i="4" s="1"/>
  <c r="U27" i="2"/>
  <c r="T28" i="2"/>
  <c r="T11" i="2"/>
  <c r="R28" i="2"/>
  <c r="V27" i="2"/>
  <c r="T27" i="2"/>
  <c r="S27" i="2"/>
  <c r="V28" i="2"/>
  <c r="U28" i="2"/>
  <c r="C9" i="4"/>
  <c r="D6" i="4"/>
  <c r="D9" i="4" s="1"/>
  <c r="D44" i="4" s="1"/>
  <c r="E44" i="4" s="1"/>
  <c r="F44" i="4" s="1"/>
  <c r="G44" i="4" s="1"/>
  <c r="H44" i="4" s="1"/>
  <c r="I44" i="4" s="1"/>
  <c r="J44" i="4" s="1"/>
  <c r="K44" i="4" s="1"/>
  <c r="L44" i="4" s="1"/>
  <c r="M44" i="4" s="1"/>
  <c r="G18" i="2"/>
  <c r="M30" i="2"/>
  <c r="N30" i="2" s="1"/>
  <c r="U11" i="2"/>
  <c r="U7" i="2"/>
  <c r="L31" i="2" s="1"/>
  <c r="M31" i="2" s="1"/>
  <c r="N31" i="2" s="1"/>
  <c r="L34" i="2"/>
  <c r="M34" i="2" s="1"/>
  <c r="N34" i="2" s="1"/>
  <c r="M18" i="2"/>
  <c r="C56" i="4" l="1"/>
  <c r="H47" i="4" s="1"/>
  <c r="G8" i="4"/>
  <c r="G7" i="4"/>
  <c r="G5" i="4"/>
  <c r="G6" i="4"/>
  <c r="D46" i="4"/>
  <c r="E46" i="4"/>
  <c r="F57" i="4"/>
  <c r="C60" i="4"/>
  <c r="H57" i="4"/>
  <c r="I57" i="4"/>
  <c r="K57" i="4"/>
  <c r="M57" i="4"/>
  <c r="G47" i="4"/>
  <c r="E47" i="4"/>
  <c r="D57" i="4"/>
  <c r="G57" i="4"/>
  <c r="D47" i="4"/>
  <c r="J57" i="4"/>
  <c r="L57" i="4"/>
  <c r="F47" i="4"/>
  <c r="I47" i="4"/>
  <c r="J47" i="4"/>
  <c r="K47" i="4"/>
  <c r="L47" i="4"/>
  <c r="M47" i="4"/>
  <c r="E57" i="4"/>
  <c r="F46" i="4"/>
  <c r="G46" i="4"/>
  <c r="I43" i="4"/>
  <c r="H46" i="4"/>
  <c r="L36" i="2"/>
  <c r="V11" i="2"/>
  <c r="L38" i="2"/>
  <c r="N18" i="2"/>
  <c r="D48" i="4" l="1"/>
  <c r="D50" i="4" s="1"/>
  <c r="D51" i="4" s="1"/>
  <c r="D52" i="4" s="1"/>
  <c r="D55" i="4" s="1"/>
  <c r="D59" i="4" s="1"/>
  <c r="D60" i="4" s="1"/>
  <c r="E48" i="4"/>
  <c r="E50" i="4" s="1"/>
  <c r="E51" i="4" s="1"/>
  <c r="E52" i="4" s="1"/>
  <c r="E55" i="4" s="1"/>
  <c r="E59" i="4" s="1"/>
  <c r="F48" i="4"/>
  <c r="F50" i="4" s="1"/>
  <c r="F51" i="4" s="1"/>
  <c r="F52" i="4" s="1"/>
  <c r="F55" i="4" s="1"/>
  <c r="F59" i="4" s="1"/>
  <c r="G48" i="4"/>
  <c r="G50" i="4" s="1"/>
  <c r="G51" i="4" s="1"/>
  <c r="G52" i="4" s="1"/>
  <c r="G55" i="4" s="1"/>
  <c r="G59" i="4" s="1"/>
  <c r="H48" i="4"/>
  <c r="H50" i="4" s="1"/>
  <c r="H51" i="4" s="1"/>
  <c r="H52" i="4" s="1"/>
  <c r="H55" i="4" s="1"/>
  <c r="H59" i="4" s="1"/>
  <c r="J43" i="4"/>
  <c r="I46" i="4"/>
  <c r="I48" i="4" s="1"/>
  <c r="I50" i="4" s="1"/>
  <c r="E60" i="4" l="1"/>
  <c r="F60" i="4" s="1"/>
  <c r="G60" i="4" s="1"/>
  <c r="H60" i="4" s="1"/>
  <c r="I51" i="4"/>
  <c r="I52" i="4" s="1"/>
  <c r="I55" i="4" s="1"/>
  <c r="I59" i="4" s="1"/>
  <c r="K43" i="4"/>
  <c r="J46" i="4"/>
  <c r="J48" i="4" s="1"/>
  <c r="J50" i="4" s="1"/>
  <c r="I60" i="4" l="1"/>
  <c r="J51" i="4"/>
  <c r="J52" i="4" s="1"/>
  <c r="J55" i="4" s="1"/>
  <c r="J59" i="4" s="1"/>
  <c r="L43" i="4"/>
  <c r="K46" i="4"/>
  <c r="K48" i="4" s="1"/>
  <c r="K50" i="4" s="1"/>
  <c r="J60" i="4" l="1"/>
  <c r="K51" i="4"/>
  <c r="K52" i="4" s="1"/>
  <c r="K55" i="4" s="1"/>
  <c r="K59" i="4" s="1"/>
  <c r="M43" i="4"/>
  <c r="M46" i="4" s="1"/>
  <c r="M48" i="4" s="1"/>
  <c r="M50" i="4" s="1"/>
  <c r="L46" i="4"/>
  <c r="L48" i="4" s="1"/>
  <c r="L50" i="4" s="1"/>
  <c r="K60" i="4" l="1"/>
  <c r="L51" i="4"/>
  <c r="L52" i="4" s="1"/>
  <c r="L55" i="4" s="1"/>
  <c r="L59" i="4" s="1"/>
  <c r="M51" i="4"/>
  <c r="M52" i="4" s="1"/>
  <c r="M55" i="4" s="1"/>
  <c r="M59" i="4" s="1"/>
  <c r="L60" i="4" l="1"/>
  <c r="M60" i="4" l="1"/>
  <c r="F69" i="4" s="1"/>
  <c r="F73" i="4" l="1"/>
  <c r="F72" i="4"/>
  <c r="I37" i="4"/>
  <c r="F70" i="4"/>
  <c r="F67" i="4"/>
  <c r="F68" i="4"/>
  <c r="I38" i="4"/>
  <c r="E71" i="4" l="1"/>
  <c r="F71" i="4" s="1"/>
</calcChain>
</file>

<file path=xl/sharedStrings.xml><?xml version="1.0" encoding="utf-8"?>
<sst xmlns="http://schemas.openxmlformats.org/spreadsheetml/2006/main" count="174" uniqueCount="82">
  <si>
    <t>Mes</t>
  </si>
  <si>
    <t>Consumo eléctrico [kWh]</t>
  </si>
  <si>
    <t>Consumo (kWh/ton)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</si>
  <si>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</si>
  <si>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</si>
  <si>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</si>
  <si>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</si>
  <si>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</si>
  <si>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</si>
  <si>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</si>
  <si>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</si>
  <si>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</si>
  <si>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</si>
  <si>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</si>
  <si>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</si>
  <si>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</si>
  <si>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Producción [t]</t>
  </si>
  <si>
    <t>Reducción (kWh)</t>
  </si>
  <si>
    <t xml:space="preserve"> </t>
  </si>
  <si>
    <t>Tarifa promedio [CLP/kWh]</t>
  </si>
  <si>
    <t>Costo mensual energía [CLP]</t>
  </si>
  <si>
    <t>Precio kWh</t>
  </si>
  <si>
    <t>Caso base (kWh)</t>
  </si>
  <si>
    <t>Caso propuesto (kWh)</t>
  </si>
  <si>
    <t>Brecha (kWh)</t>
  </si>
  <si>
    <t>Costo por brecha</t>
  </si>
  <si>
    <t xml:space="preserve">Sistema de inyeccion </t>
  </si>
  <si>
    <t>Iluminacion</t>
  </si>
  <si>
    <t>Sistema auxiliar</t>
  </si>
  <si>
    <t>Área gestion energetica</t>
  </si>
  <si>
    <t>Área/sistema</t>
  </si>
  <si>
    <t>Brecha (kWh/año)</t>
  </si>
  <si>
    <t xml:space="preserve">Reducción porcentual (respecto a base) </t>
  </si>
  <si>
    <t>Ahorros (kWh)</t>
  </si>
  <si>
    <t>Ahorros ($)</t>
  </si>
  <si>
    <t>Costo de tarifa ($/kWh)</t>
  </si>
  <si>
    <t xml:space="preserve">Sistema de inyección (1 y 2) </t>
  </si>
  <si>
    <t>Sensores de movimiento ($)</t>
  </si>
  <si>
    <t>Total: ($)</t>
  </si>
  <si>
    <t>Costos logísticos (20%)</t>
  </si>
  <si>
    <t>CAPEX</t>
  </si>
  <si>
    <t>Configuración de VDF</t>
  </si>
  <si>
    <t>Reducción kWh mensual</t>
  </si>
  <si>
    <t xml:space="preserve">Sistema de inyección </t>
  </si>
  <si>
    <t>Iluminación</t>
  </si>
  <si>
    <t>Área gestión energética</t>
  </si>
  <si>
    <t>Bomba (General Purpose Motor 100 HP)</t>
  </si>
  <si>
    <t>Instalación de sensores y software</t>
  </si>
  <si>
    <t>Capacitación del personal</t>
  </si>
  <si>
    <t>Cantidad de VDFs</t>
  </si>
  <si>
    <t>OPEX (5%)</t>
  </si>
  <si>
    <t>Cantidad de luminarias (unidades, 1 a 4)</t>
  </si>
  <si>
    <t>AÑO</t>
  </si>
  <si>
    <t>CP&amp;P</t>
  </si>
  <si>
    <t>Ingresos</t>
  </si>
  <si>
    <t>Costo</t>
  </si>
  <si>
    <t>Costo O&amp;M</t>
  </si>
  <si>
    <t>EBITDA</t>
  </si>
  <si>
    <t>(-) Amortización</t>
  </si>
  <si>
    <t>EBIT</t>
  </si>
  <si>
    <t>Costo Financiero</t>
  </si>
  <si>
    <t>EBT</t>
  </si>
  <si>
    <t>25% (impuesto)</t>
  </si>
  <si>
    <t>EAT</t>
  </si>
  <si>
    <t>Flujo de Caja</t>
  </si>
  <si>
    <t>Capital Prestado</t>
  </si>
  <si>
    <t>Utilidad</t>
  </si>
  <si>
    <t>Acumulado</t>
  </si>
  <si>
    <t>INVERSIÓN</t>
  </si>
  <si>
    <t>AMORTIZACIÓN(+)</t>
  </si>
  <si>
    <t>tasa</t>
  </si>
  <si>
    <t>años</t>
  </si>
  <si>
    <t>VAN</t>
  </si>
  <si>
    <t>TIR</t>
  </si>
  <si>
    <t>Tasa</t>
  </si>
  <si>
    <t>Producción (t)</t>
  </si>
  <si>
    <t>Caso post mejora (nuestra correción)</t>
  </si>
  <si>
    <t>Reduccion kWh anual</t>
  </si>
  <si>
    <t>Caso Base</t>
  </si>
  <si>
    <t>% de CAPEX</t>
  </si>
  <si>
    <t>VDF 100 HP</t>
  </si>
  <si>
    <t xml:space="preserve">Tabla sistemas/Brecha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</si>
</sst>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&quot;$&quot;\-#,##0"/>
    <numFmt numFmtId="164" formatCode="_-&quot;$&quot;* #,##0_-;\-&quot;$&quot;* #,##0_-;_-&quot;$&quot;* &quot;-&quot;_-;_-@_-"/>
    <numFmt numFmtId="165" formatCode="_-* #,##0_-;\-* #,##0_-;_-* &quot;-&quot;_-;_-@_-"/>
    <numFmt numFmtId="166" formatCode="0.0"/>
    <numFmt numFmtId="168" formatCode="0.00000000000%"/>
    <numFmt numFmtId="169" formatCode="#,##0.0"/>
    <numFmt numFmtId="170" formatCode="_-* #,##0.00_-;\-* #,##0.00_-;_-* &quot;-&quot;_-;_-@_-"/>
    <numFmt numFmtId="171" formatCode="0.0%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4C4C4C"/>
      <name val="Arial"/>
      <family val="2"/>
    </font>
    <font>
      <sz val="11"/>
      <color rgb="FF4C4C4C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2"/>
      <name val="Aptos Narrow"/>
      <family val="2"/>
      <scheme val="minor"/>
    </font>
    <font>
      <b/>
      <sz val="11"/>
      <color rgb="FF262626"/>
      <name val="Arial"/>
      <family val="2"/>
    </font>
    <font>
      <sz val="12"/>
      <color theme="1"/>
      <name val="Aptos Narrow"/>
      <scheme val="minor"/>
    </font>
    <font>
      <sz val="11"/>
      <color rgb="FF000000"/>
      <name val="Calibri"/>
      <family val="2"/>
    </font>
    <font>
      <sz val="12"/>
      <color theme="1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/>
      <right style="medium">
        <color rgb="FFBFBFBF"/>
      </right>
      <top/>
      <bottom/>
      <diagonal/>
    </border>
    <border>
      <left/>
      <right/>
      <top/>
      <bottom style="medium">
        <color rgb="FF59595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0" fillId="0" borderId="0" xfId="0" applyNumberFormat="1"/>
    <xf numFmtId="3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6" fontId="0" fillId="0" borderId="0" xfId="0" applyNumberFormat="1"/>
    <xf numFmtId="0" fontId="5" fillId="0" borderId="3" xfId="0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6" fontId="2" fillId="0" borderId="0" xfId="0" applyNumberFormat="1" applyFont="1"/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166" fontId="7" fillId="0" borderId="0" xfId="0" applyNumberFormat="1" applyFont="1"/>
    <xf numFmtId="0" fontId="6" fillId="0" borderId="5" xfId="0" applyFont="1" applyBorder="1" applyAlignment="1">
      <alignment horizontal="center" vertical="center" wrapText="1"/>
    </xf>
    <xf numFmtId="3" fontId="7" fillId="0" borderId="0" xfId="0" applyNumberFormat="1" applyFont="1"/>
    <xf numFmtId="3" fontId="8" fillId="0" borderId="0" xfId="0" applyNumberFormat="1" applyFont="1"/>
    <xf numFmtId="165" fontId="0" fillId="0" borderId="0" xfId="1" applyFont="1"/>
    <xf numFmtId="165" fontId="7" fillId="3" borderId="0" xfId="0" applyNumberFormat="1" applyFont="1" applyFill="1"/>
    <xf numFmtId="0" fontId="0" fillId="0" borderId="0" xfId="0" applyAlignment="1">
      <alignment horizontal="center"/>
    </xf>
    <xf numFmtId="165" fontId="4" fillId="0" borderId="4" xfId="1" applyFont="1" applyBorder="1" applyAlignment="1">
      <alignment horizontal="center" vertical="center" wrapText="1"/>
    </xf>
    <xf numFmtId="168" fontId="0" fillId="0" borderId="0" xfId="2" applyNumberFormat="1" applyFon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65" fontId="6" fillId="0" borderId="0" xfId="1" applyFont="1" applyAlignment="1">
      <alignment horizontal="center" vertical="center" wrapText="1"/>
    </xf>
    <xf numFmtId="165" fontId="4" fillId="0" borderId="0" xfId="1" applyFont="1" applyAlignment="1">
      <alignment horizontal="center" vertical="center" wrapText="1"/>
    </xf>
    <xf numFmtId="165" fontId="7" fillId="0" borderId="0" xfId="1" applyFont="1"/>
    <xf numFmtId="170" fontId="0" fillId="0" borderId="0" xfId="1" applyNumberFormat="1" applyFont="1"/>
    <xf numFmtId="171" fontId="0" fillId="0" borderId="0" xfId="2" applyNumberFormat="1" applyFont="1"/>
    <xf numFmtId="0" fontId="4" fillId="0" borderId="4" xfId="0" applyFont="1" applyBorder="1" applyAlignment="1">
      <alignment horizontal="center" wrapText="1"/>
    </xf>
    <xf numFmtId="170" fontId="6" fillId="0" borderId="4" xfId="1" applyNumberFormat="1" applyFont="1" applyBorder="1" applyAlignment="1">
      <alignment horizontal="center" wrapText="1"/>
    </xf>
    <xf numFmtId="165" fontId="6" fillId="0" borderId="4" xfId="1" applyFont="1" applyBorder="1" applyAlignment="1">
      <alignment horizontal="center" vertical="center" wrapText="1"/>
    </xf>
    <xf numFmtId="170" fontId="6" fillId="0" borderId="4" xfId="1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166" fontId="0" fillId="0" borderId="8" xfId="0" applyNumberFormat="1" applyBorder="1"/>
    <xf numFmtId="166" fontId="7" fillId="0" borderId="8" xfId="0" applyNumberFormat="1" applyFont="1" applyBorder="1"/>
    <xf numFmtId="166" fontId="2" fillId="0" borderId="8" xfId="0" applyNumberFormat="1" applyFont="1" applyBorder="1"/>
    <xf numFmtId="3" fontId="7" fillId="4" borderId="0" xfId="0" applyNumberFormat="1" applyFont="1" applyFill="1"/>
    <xf numFmtId="3" fontId="0" fillId="5" borderId="0" xfId="0" applyNumberFormat="1" applyFill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0" fontId="0" fillId="0" borderId="0" xfId="2" applyNumberFormat="1" applyFont="1"/>
    <xf numFmtId="0" fontId="0" fillId="6" borderId="9" xfId="0" applyFill="1" applyBorder="1"/>
    <xf numFmtId="0" fontId="0" fillId="7" borderId="9" xfId="0" applyFill="1" applyBorder="1"/>
    <xf numFmtId="3" fontId="0" fillId="7" borderId="9" xfId="0" applyNumberFormat="1" applyFill="1" applyBorder="1"/>
    <xf numFmtId="3" fontId="0" fillId="6" borderId="9" xfId="0" applyNumberFormat="1" applyFill="1" applyBorder="1"/>
    <xf numFmtId="0" fontId="0" fillId="7" borderId="9" xfId="0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164" fontId="0" fillId="0" borderId="9" xfId="3" applyFont="1" applyFill="1" applyBorder="1"/>
    <xf numFmtId="165" fontId="0" fillId="0" borderId="9" xfId="1" applyFont="1" applyFill="1" applyBorder="1"/>
    <xf numFmtId="9" fontId="0" fillId="0" borderId="0" xfId="0" applyNumberFormat="1"/>
    <xf numFmtId="3" fontId="0" fillId="0" borderId="1" xfId="0" applyNumberFormat="1" applyBorder="1"/>
    <xf numFmtId="171" fontId="0" fillId="0" borderId="1" xfId="2" applyNumberFormat="1" applyFont="1" applyBorder="1"/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0" fillId="0" borderId="10" xfId="0" applyBorder="1"/>
    <xf numFmtId="0" fontId="0" fillId="7" borderId="10" xfId="0" applyFill="1" applyBorder="1"/>
    <xf numFmtId="0" fontId="0" fillId="6" borderId="10" xfId="0" applyFill="1" applyBorder="1"/>
    <xf numFmtId="164" fontId="0" fillId="0" borderId="10" xfId="3" applyFont="1" applyBorder="1"/>
    <xf numFmtId="0" fontId="0" fillId="7" borderId="11" xfId="0" applyFill="1" applyBorder="1"/>
    <xf numFmtId="164" fontId="0" fillId="0" borderId="10" xfId="0" applyNumberFormat="1" applyBorder="1"/>
    <xf numFmtId="164" fontId="9" fillId="0" borderId="10" xfId="3" applyFont="1" applyBorder="1"/>
    <xf numFmtId="164" fontId="9" fillId="0" borderId="10" xfId="0" applyNumberFormat="1" applyFont="1" applyBorder="1"/>
    <xf numFmtId="164" fontId="0" fillId="0" borderId="0" xfId="0" applyNumberFormat="1"/>
    <xf numFmtId="0" fontId="10" fillId="8" borderId="1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vertical="center"/>
    </xf>
    <xf numFmtId="3" fontId="10" fillId="9" borderId="15" xfId="0" applyNumberFormat="1" applyFont="1" applyFill="1" applyBorder="1" applyAlignment="1">
      <alignment horizontal="right" vertical="center"/>
    </xf>
    <xf numFmtId="6" fontId="10" fillId="9" borderId="15" xfId="0" applyNumberFormat="1" applyFont="1" applyFill="1" applyBorder="1" applyAlignment="1">
      <alignment horizontal="right" vertical="center"/>
    </xf>
    <xf numFmtId="0" fontId="10" fillId="8" borderId="14" xfId="0" applyFont="1" applyFill="1" applyBorder="1" applyAlignment="1">
      <alignment vertical="center"/>
    </xf>
    <xf numFmtId="3" fontId="10" fillId="8" borderId="15" xfId="0" applyNumberFormat="1" applyFont="1" applyFill="1" applyBorder="1" applyAlignment="1">
      <alignment horizontal="right" vertical="center"/>
    </xf>
    <xf numFmtId="6" fontId="10" fillId="8" borderId="15" xfId="0" applyNumberFormat="1" applyFont="1" applyFill="1" applyBorder="1" applyAlignment="1">
      <alignment horizontal="right" vertical="center"/>
    </xf>
    <xf numFmtId="0" fontId="0" fillId="6" borderId="11" xfId="0" applyFill="1" applyBorder="1"/>
    <xf numFmtId="165" fontId="0" fillId="0" borderId="10" xfId="1" applyFont="1" applyBorder="1" applyAlignment="1">
      <alignment horizontal="right" vertical="center" wrapText="1"/>
    </xf>
    <xf numFmtId="0" fontId="0" fillId="3" borderId="11" xfId="0" applyFill="1" applyBorder="1"/>
    <xf numFmtId="165" fontId="0" fillId="0" borderId="10" xfId="1" applyFont="1" applyBorder="1"/>
    <xf numFmtId="0" fontId="11" fillId="0" borderId="0" xfId="0" applyFont="1"/>
    <xf numFmtId="9" fontId="0" fillId="0" borderId="0" xfId="2" applyFont="1"/>
    <xf numFmtId="0" fontId="4" fillId="0" borderId="16" xfId="0" applyFont="1" applyBorder="1" applyAlignment="1">
      <alignment horizontal="center" vertical="center" wrapText="1"/>
    </xf>
    <xf numFmtId="12" fontId="0" fillId="0" borderId="10" xfId="1" applyNumberFormat="1" applyFont="1" applyBorder="1"/>
    <xf numFmtId="0" fontId="0" fillId="7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5" borderId="0" xfId="0" applyFill="1"/>
    <xf numFmtId="0" fontId="11" fillId="0" borderId="10" xfId="0" applyFont="1" applyBorder="1"/>
    <xf numFmtId="164" fontId="0" fillId="10" borderId="10" xfId="0" applyNumberFormat="1" applyFill="1" applyBorder="1"/>
    <xf numFmtId="10" fontId="0" fillId="0" borderId="10" xfId="0" applyNumberFormat="1" applyBorder="1"/>
    <xf numFmtId="164" fontId="0" fillId="0" borderId="18" xfId="0" applyNumberFormat="1" applyBorder="1"/>
    <xf numFmtId="165" fontId="0" fillId="0" borderId="18" xfId="1" applyFont="1" applyBorder="1"/>
    <xf numFmtId="0" fontId="0" fillId="7" borderId="19" xfId="0" applyFill="1" applyBorder="1"/>
    <xf numFmtId="0" fontId="0" fillId="6" borderId="19" xfId="0" applyFill="1" applyBorder="1"/>
    <xf numFmtId="9" fontId="0" fillId="0" borderId="10" xfId="2" applyFont="1" applyBorder="1"/>
    <xf numFmtId="9" fontId="0" fillId="0" borderId="10" xfId="0" applyNumberFormat="1" applyBorder="1"/>
    <xf numFmtId="9" fontId="0" fillId="0" borderId="10" xfId="2" applyNumberFormat="1" applyFont="1" applyBorder="1"/>
    <xf numFmtId="10" fontId="0" fillId="10" borderId="10" xfId="2" applyNumberFormat="1" applyFont="1" applyFill="1" applyBorder="1"/>
  </cellXfs>
  <cellStyles count="4">
    <cellStyle name="Millares [0]" xfId="1" builtinId="6"/>
    <cellStyle name="Moneda [0]" xfId="3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'Caso post mejora (+ corrección)'!$S$53</c:f>
              <c:strCache>
                <c:ptCount val="1"/>
                <c:pt idx="0">
                  <c:v>Brecha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'Caso post mejora (+ corrección)'!$R$54:$R$57</c:f>
              <c:strCache>
                <c:ptCount val="4"/>
                <c:pt idx="0">
                  <c:v>Sistema de inyeccion </c:v>
                </c:pt>
                <c:pt idx="1">
                  <c:v>Iluminacion</c:v>
                </c:pt>
                <c:pt idx="2">
                  <c:v>Sistema auxiliar</c:v>
                </c:pt>
                <c:pt idx="3">
                  <c:v>Área gestion energetica</c:v>
                </c:pt>
              </c:strCache>
            </c:strRef>
          </c:cat>
          <c:val>
            <c:numRef>
              <c:f>'Caso post mejora (+ corrección)'!$S$54:$S$57</c:f>
              <c:numCache>
                <c:formatCode>#,##0</c:formatCode>
                <c:ptCount val="4"/>
                <c:pt idx="0">
                  <c:v>70008</c:v>
                </c:pt>
                <c:pt idx="1">
                  <c:v>7992</c:v>
                </c:pt>
                <c:pt idx="2">
                  <c:v>15000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1-45FB-80FC-7D7AB1BA65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927450960"/>
        <c:axId val="1927450000"/>
      </c:barChart>
      <c:catAx>
        <c:axId val="192745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7450000"/>
        <c:crosses val="autoZero"/>
        <c:auto val="1"/>
        <c:lblAlgn val="ctr"/>
        <c:lblOffset val="100"/>
        <c:noMultiLvlLbl val="0"/>
      </c:catAx>
      <c:valAx>
        <c:axId val="192745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745096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'Caso post mejora (+ corrección)'!$V$37</c:f>
              <c:strCache>
                <c:ptCount val="1"/>
                <c:pt idx="0">
                  <c:v>Costo por brecha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'Caso post mejora (+ corrección)'!$R$38:$R$41</c:f>
              <c:strCache>
                <c:ptCount val="4"/>
                <c:pt idx="0">
                  <c:v>Sistema de inyeccion </c:v>
                </c:pt>
                <c:pt idx="1">
                  <c:v>Iluminacion</c:v>
                </c:pt>
                <c:pt idx="2">
                  <c:v>Sistema auxiliar</c:v>
                </c:pt>
                <c:pt idx="3">
                  <c:v>Área gestion energetica</c:v>
                </c:pt>
              </c:strCache>
            </c:strRef>
          </c:cat>
          <c:val>
            <c:numRef>
              <c:f>'Caso post mejora (+ corrección)'!$V$38:$V$41</c:f>
              <c:numCache>
                <c:formatCode>_-"$"* #,##0_-;\-"$"* #,##0_-;_-"$"* "-"_-;_-@_-</c:formatCode>
                <c:ptCount val="4"/>
                <c:pt idx="0">
                  <c:v>9941136</c:v>
                </c:pt>
                <c:pt idx="1">
                  <c:v>1134864</c:v>
                </c:pt>
                <c:pt idx="2">
                  <c:v>2130000</c:v>
                </c:pt>
                <c:pt idx="3">
                  <c:v>994000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8-4EF4-8A91-53CACF80AC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50503712"/>
        <c:axId val="150505632"/>
      </c:barChart>
      <c:catAx>
        <c:axId val="15050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505632"/>
        <c:crosses val="autoZero"/>
        <c:auto val="1"/>
        <c:lblAlgn val="ctr"/>
        <c:lblOffset val="100"/>
        <c:noMultiLvlLbl val="0"/>
      </c:catAx>
      <c:valAx>
        <c:axId val="1505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5037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Caso base vs Caso propuesto vs Brecha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'Caso post mejora (+ corrección)'!$S$37</c:f>
              <c:strCache>
                <c:ptCount val="1"/>
                <c:pt idx="0">
                  <c:v>Caso base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'Caso post mejora (+ corrección)'!$R$38:$R$41</c:f>
              <c:strCache>
                <c:ptCount val="4"/>
                <c:pt idx="0">
                  <c:v>Sistema de inyeccion </c:v>
                </c:pt>
                <c:pt idx="1">
                  <c:v>Iluminacion</c:v>
                </c:pt>
                <c:pt idx="2">
                  <c:v>Sistema auxiliar</c:v>
                </c:pt>
                <c:pt idx="3">
                  <c:v>Área gestion energetica</c:v>
                </c:pt>
              </c:strCache>
            </c:strRef>
          </c:cat>
          <c:val>
            <c:numRef>
              <c:f>'Caso post mejora (+ corrección)'!$S$38:$S$41</c:f>
              <c:numCache>
                <c:formatCode>#,##0</c:formatCode>
                <c:ptCount val="4"/>
                <c:pt idx="0">
                  <c:v>3534112</c:v>
                </c:pt>
                <c:pt idx="1">
                  <c:v>403873</c:v>
                </c:pt>
                <c:pt idx="2">
                  <c:v>757306</c:v>
                </c:pt>
                <c:pt idx="3">
                  <c:v>353409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0-41CA-BAD3-72A0F1E1A634}"/>
            </c:ext>
          </c:extLst>
        </c:ser>
        <c:ser>
          <c:idx val="1"/>
          <c:order val="1"/>
          <c:tx>
            <c:strRef>
              <c:f>'Caso post mejora (+ corrección)'!$T$37</c:f>
              <c:strCache>
                <c:ptCount val="1"/>
                <c:pt idx="0">
                  <c:v>Caso propuesto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'Caso post mejora (+ corrección)'!$R$38:$R$41</c:f>
              <c:strCache>
                <c:ptCount val="4"/>
                <c:pt idx="0">
                  <c:v>Sistema de inyeccion </c:v>
                </c:pt>
                <c:pt idx="1">
                  <c:v>Iluminacion</c:v>
                </c:pt>
                <c:pt idx="2">
                  <c:v>Sistema auxiliar</c:v>
                </c:pt>
                <c:pt idx="3">
                  <c:v>Área gestion energetica</c:v>
                </c:pt>
              </c:strCache>
            </c:strRef>
          </c:cat>
          <c:val>
            <c:numRef>
              <c:f>'Caso post mejora (+ corrección)'!$T$38:$T$41</c:f>
              <c:numCache>
                <c:formatCode>#,##0</c:formatCode>
                <c:ptCount val="4"/>
                <c:pt idx="0">
                  <c:v>3464104</c:v>
                </c:pt>
                <c:pt idx="1">
                  <c:v>395881</c:v>
                </c:pt>
                <c:pt idx="2" formatCode="_-* #,##0_-;\-* #,##0_-;_-* &quot;-&quot;_-;_-@_-">
                  <c:v>742306</c:v>
                </c:pt>
                <c:pt idx="3">
                  <c:v>346409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0-41CA-BAD3-72A0F1E1A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159968"/>
        <c:axId val="1947158048"/>
      </c:areaChart>
      <c:barChart>
        <c:barDir val="col"/>
        <c:grouping val="clustered"/>
        <c:varyColors val="0"/>
        <c:ser>
          <c:idx val="2"/>
          <c:order val="2"/>
          <c:tx>
            <c:strRef>
              <c:f>'Caso post mejora (+ corrección)'!$U$37</c:f>
              <c:strCache>
                <c:ptCount val="1"/>
                <c:pt idx="0">
                  <c:v>Brecha (kWh/año)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'Caso post mejora (+ corrección)'!$R$38:$R$41</c:f>
              <c:strCache>
                <c:ptCount val="4"/>
                <c:pt idx="0">
                  <c:v>Sistema de inyeccion </c:v>
                </c:pt>
                <c:pt idx="1">
                  <c:v>Iluminacion</c:v>
                </c:pt>
                <c:pt idx="2">
                  <c:v>Sistema auxiliar</c:v>
                </c:pt>
                <c:pt idx="3">
                  <c:v>Área gestion energetica</c:v>
                </c:pt>
              </c:strCache>
            </c:strRef>
          </c:cat>
          <c:val>
            <c:numRef>
              <c:f>'Caso post mejora (+ corrección)'!$U$38:$U$41</c:f>
              <c:numCache>
                <c:formatCode>#,##0</c:formatCode>
                <c:ptCount val="4"/>
                <c:pt idx="0">
                  <c:v>70008</c:v>
                </c:pt>
                <c:pt idx="1">
                  <c:v>7992</c:v>
                </c:pt>
                <c:pt idx="2">
                  <c:v>15000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50-41CA-BAD3-72A0F1E1A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159968"/>
        <c:axId val="1947158048"/>
      </c:barChart>
      <c:catAx>
        <c:axId val="194715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47158048"/>
        <c:auto val="1"/>
        <c:lblAlgn val="ctr"/>
        <c:lblOffset val="100"/>
        <c:noMultiLvlLbl val="0"/>
      </c:catAx>
      <c:valAx>
        <c:axId val="19471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47159968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TIR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'Evaluación financiera'!$F$66</c:f>
              <c:strCache>
                <c:ptCount val="1"/>
                <c:pt idx="0">
                  <c:v>VAN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00B050"/>
                </a:solidFill>
                <a:ln w="4127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FC5-5C42-B94A-D4D2428C982D}"/>
              </c:ext>
            </c:extLst>
          </c:dPt>
          <c:xVal>
            <c:numRef>
              <c:f>'Evaluación financiera'!$E$67:$E$75</c:f>
              <c:numCache>
                <c:formatCode>0%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 formatCode="0.00%">
                  <c:v>5.6286133605540689E-2</c:v>
                </c:pt>
                <c:pt idx="5">
                  <c:v>7.0000000000000007E-2</c:v>
                </c:pt>
                <c:pt idx="6">
                  <c:v>0.1</c:v>
                </c:pt>
              </c:numCache>
            </c:numRef>
          </c:xVal>
          <c:yVal>
            <c:numRef>
              <c:f>'Evaluación financiera'!$F$67:$F$75</c:f>
              <c:numCache>
                <c:formatCode>_-"$"* #,##0_-;\-"$"* #,##0_-;_-"$"* "-"_-;_-@_-</c:formatCode>
                <c:ptCount val="9"/>
                <c:pt idx="0">
                  <c:v>52159673.946150154</c:v>
                </c:pt>
                <c:pt idx="1">
                  <c:v>38708164.552284814</c:v>
                </c:pt>
                <c:pt idx="2">
                  <c:v>26573087.149493225</c:v>
                </c:pt>
                <c:pt idx="3">
                  <c:v>15618909.383437477</c:v>
                </c:pt>
                <c:pt idx="4">
                  <c:v>-6.7055225372314453E-8</c:v>
                </c:pt>
                <c:pt idx="5">
                  <c:v>-11298417.595397457</c:v>
                </c:pt>
                <c:pt idx="6">
                  <c:v>-31209585.530554734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5-5C42-B94A-D4D2428C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505408"/>
        <c:axId val="542493760"/>
      </c:scatterChart>
      <c:valAx>
        <c:axId val="5425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542493760"/>
        <c:crosses val="autoZero"/>
        <c:crossBetween val="midCat"/>
      </c:valAx>
      <c:valAx>
        <c:axId val="5424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5425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1150238</xdr:colOff>
      <xdr:row>49</xdr:row>
      <xdr:rowOff>3774</xdr:rowOff>
    </xdr:from>
    <xdr:to>
      <xdr:col>16</xdr:col>
      <xdr:colOff>494011</xdr:colOff>
      <xdr:row>62</xdr:row>
      <xdr:rowOff>18626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4ED3652D-1EB9-9E22-C61B-08B8F765B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1863098</xdr:colOff>
      <xdr:row>49</xdr:row>
      <xdr:rowOff>8094</xdr:rowOff>
    </xdr:from>
    <xdr:to>
      <xdr:col>12</xdr:col>
      <xdr:colOff>909437</xdr:colOff>
      <xdr:row>61</xdr:row>
      <xdr:rowOff>201003</xdr:rowOff>
    </xdr:to>
    <xdr:graphicFrame macro="">
      <xdr:nvGraphicFramePr>
        <xdr:cNvPr id="10" name="Gráfico 3">
          <a:extLst>
            <a:ext uri="{FF2B5EF4-FFF2-40B4-BE49-F238E27FC236}">
              <a16:creationId xmlns:a16="http://schemas.microsoft.com/office/drawing/2014/main" id="{BA076711-A82F-7460-2346-086441C9E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117981</xdr:colOff>
      <xdr:row>32</xdr:row>
      <xdr:rowOff>44162</xdr:rowOff>
    </xdr:from>
    <xdr:to>
      <xdr:col>26</xdr:col>
      <xdr:colOff>187254</xdr:colOff>
      <xdr:row>45</xdr:row>
      <xdr:rowOff>56501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8105E9C-CF4F-CE54-6D27-57D1223C1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432120</xdr:colOff>
      <xdr:row>61</xdr:row>
      <xdr:rowOff>186507</xdr:rowOff>
    </xdr:from>
    <xdr:to>
      <xdr:col>11</xdr:col>
      <xdr:colOff>741233</xdr:colOff>
      <xdr:row>78</xdr:row>
      <xdr:rowOff>186267</xdr:rowOff>
    </xdr:to>
    <xdr:graphicFrame macro="">
      <xdr:nvGraphicFramePr>
        <xdr:cNvPr id="27" name="Chart 2">
          <a:extLst>
            <a:ext uri="{FF2B5EF4-FFF2-40B4-BE49-F238E27FC236}">
              <a16:creationId xmlns:a16="http://schemas.microsoft.com/office/drawing/2014/main" id="{EBD027D0-4B10-BC8C-EE3B-6D5673DE4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E64B-164B-2C4E-8DDF-EE46FBF320D0}">
  <dimension ref="D2:AE58"/>
  <sheetViews>
    <sheetView tabSelected="1" zoomScale="55" zoomScaleNormal="55" workbookViewId="0">
      <selection activeCell="I47" sqref="I47"/>
    </sheetView>
  </sheetViews>
  <sheetFormatPr baseColWidth="10" defaultColWidth="11" defaultRowHeight="15.75" x14ac:dyDescent="0.25"/>
  <cols>
    <col min="4" max="4" width="10.125" bestFit="1" customWidth="1"/>
    <col min="5" max="5" width="13.625" bestFit="1" customWidth="1"/>
    <col min="6" max="6" width="25.375" bestFit="1" customWidth="1"/>
    <col min="7" max="7" width="24.375" bestFit="1" customWidth="1"/>
    <col min="8" max="8" width="16.625" bestFit="1" customWidth="1"/>
    <col min="11" max="11" width="25.625" bestFit="1" customWidth="1"/>
    <col min="12" max="12" width="30.375" bestFit="1" customWidth="1"/>
    <col min="13" max="13" width="16.375" bestFit="1" customWidth="1"/>
    <col min="14" max="14" width="13.625" bestFit="1" customWidth="1"/>
    <col min="17" max="17" width="12.625" bestFit="1" customWidth="1"/>
    <col min="18" max="18" width="20" bestFit="1" customWidth="1"/>
    <col min="19" max="19" width="14.625" bestFit="1" customWidth="1"/>
    <col min="20" max="20" width="19.125" bestFit="1" customWidth="1"/>
    <col min="21" max="21" width="15.5" bestFit="1" customWidth="1"/>
    <col min="22" max="23" width="16.875" bestFit="1" customWidth="1"/>
    <col min="24" max="24" width="20.375" bestFit="1" customWidth="1"/>
    <col min="28" max="28" width="21.5" bestFit="1" customWidth="1"/>
    <col min="29" max="29" width="15.25" bestFit="1" customWidth="1"/>
    <col min="30" max="30" width="20" bestFit="1" customWidth="1"/>
    <col min="31" max="31" width="16.375" bestFit="1" customWidth="1"/>
    <col min="32" max="32" width="15.25" bestFit="1" customWidth="1"/>
    <col min="33" max="33" width="12.625" bestFit="1" customWidth="1"/>
  </cols>
  <sheetData>
    <row r="2" spans="4:22" x14ac:dyDescent="0.25">
      <c r="F2" s="20"/>
      <c r="L2" s="20"/>
    </row>
    <row r="4" spans="4:22" ht="16.5" thickBot="1" x14ac:dyDescent="0.3">
      <c r="D4" s="90" t="s">
        <v>78</v>
      </c>
      <c r="E4" s="90"/>
      <c r="F4" s="90"/>
      <c r="G4" s="90"/>
      <c r="K4" s="90" t="s">
        <v>76</v>
      </c>
      <c r="L4" s="90"/>
      <c r="M4" s="90"/>
      <c r="N4" s="90"/>
    </row>
    <row r="5" spans="4:22" ht="60.75" thickBot="1" x14ac:dyDescent="0.3">
      <c r="D5" s="43" t="s">
        <v>0</v>
      </c>
      <c r="E5" s="44" t="s">
        <v>16</v>
      </c>
      <c r="F5" s="44" t="s">
        <v>1</v>
      </c>
      <c r="G5" s="44" t="s">
        <v>2</v>
      </c>
      <c r="K5" s="45" t="s">
        <v>0</v>
      </c>
      <c r="L5" s="46" t="s">
        <v>16</v>
      </c>
      <c r="M5" s="46" t="s">
        <v>1</v>
      </c>
      <c r="N5" s="47" t="s">
        <v>2</v>
      </c>
      <c r="Q5" s="1" t="s">
        <v>0</v>
      </c>
      <c r="R5" s="1" t="s">
        <v>16</v>
      </c>
      <c r="S5" s="1" t="s">
        <v>1</v>
      </c>
      <c r="T5" s="1" t="s">
        <v>17</v>
      </c>
      <c r="U5" s="1" t="s">
        <v>32</v>
      </c>
    </row>
    <row r="6" spans="4:22" ht="16.5" thickBot="1" x14ac:dyDescent="0.3">
      <c r="D6" s="3" t="s">
        <v>3</v>
      </c>
      <c r="E6" s="5">
        <v>1180</v>
      </c>
      <c r="F6" s="5">
        <v>402500</v>
      </c>
      <c r="G6" s="7">
        <f t="shared" ref="G6:G18" si="0">+F6/E6</f>
        <v>341.10169491525426</v>
      </c>
      <c r="K6" s="3" t="s">
        <v>3</v>
      </c>
      <c r="L6" s="5">
        <v>1180</v>
      </c>
      <c r="M6" s="35">
        <v>402500</v>
      </c>
      <c r="N6" s="38">
        <f t="shared" ref="N6:N18" si="1">+M6/L6</f>
        <v>341.10169491525426</v>
      </c>
      <c r="Q6" s="62" t="s">
        <v>9</v>
      </c>
      <c r="R6" s="63">
        <v>1160</v>
      </c>
      <c r="S6" s="63">
        <v>404700</v>
      </c>
      <c r="T6" s="60">
        <f>+(F12-S6)</f>
        <v>24000</v>
      </c>
      <c r="U6" s="61">
        <f>+T6/F12</f>
        <v>5.5983205038488457E-2</v>
      </c>
    </row>
    <row r="7" spans="4:22" ht="16.5" thickBot="1" x14ac:dyDescent="0.3">
      <c r="D7" s="3" t="s">
        <v>4</v>
      </c>
      <c r="E7" s="5">
        <v>1050</v>
      </c>
      <c r="F7" s="5">
        <v>361800</v>
      </c>
      <c r="G7" s="7">
        <f t="shared" si="0"/>
        <v>344.57142857142856</v>
      </c>
      <c r="K7" s="3" t="s">
        <v>4</v>
      </c>
      <c r="L7" s="5">
        <v>1050</v>
      </c>
      <c r="M7" s="35">
        <v>361800</v>
      </c>
      <c r="N7" s="38">
        <f t="shared" si="1"/>
        <v>344.57142857142856</v>
      </c>
      <c r="Q7" s="62" t="s">
        <v>10</v>
      </c>
      <c r="R7" s="63">
        <v>1200</v>
      </c>
      <c r="S7" s="63">
        <v>416200</v>
      </c>
      <c r="T7" s="60">
        <f>+(F13-S7)</f>
        <v>20000</v>
      </c>
      <c r="U7" s="61">
        <f>+T7/F13</f>
        <v>4.585052728106373E-2</v>
      </c>
    </row>
    <row r="8" spans="4:22" ht="16.5" thickBot="1" x14ac:dyDescent="0.3">
      <c r="D8" s="3" t="s">
        <v>5</v>
      </c>
      <c r="E8" s="5">
        <v>1210</v>
      </c>
      <c r="F8" s="5">
        <v>417300</v>
      </c>
      <c r="G8" s="7">
        <f t="shared" si="0"/>
        <v>344.87603305785126</v>
      </c>
      <c r="K8" s="3" t="s">
        <v>5</v>
      </c>
      <c r="L8" s="5">
        <v>1210</v>
      </c>
      <c r="M8" s="35">
        <v>417300</v>
      </c>
      <c r="N8" s="38">
        <f t="shared" si="1"/>
        <v>344.87603305785126</v>
      </c>
      <c r="Q8" s="62" t="s">
        <v>12</v>
      </c>
      <c r="R8" s="63">
        <v>1240</v>
      </c>
      <c r="S8" s="63">
        <v>425300</v>
      </c>
      <c r="T8" s="60">
        <f>+(F15-S8)</f>
        <v>16000</v>
      </c>
      <c r="U8" s="61">
        <f>+T8/F15</f>
        <v>3.6256514842510766E-2</v>
      </c>
    </row>
    <row r="9" spans="4:22" ht="16.5" thickBot="1" x14ac:dyDescent="0.3">
      <c r="D9" s="3" t="s">
        <v>6</v>
      </c>
      <c r="E9" s="5">
        <v>1195</v>
      </c>
      <c r="F9" s="5">
        <v>409600</v>
      </c>
      <c r="G9" s="7">
        <f t="shared" si="0"/>
        <v>342.76150627615061</v>
      </c>
      <c r="K9" s="3" t="s">
        <v>6</v>
      </c>
      <c r="L9" s="5">
        <v>1195</v>
      </c>
      <c r="M9" s="35">
        <v>409600</v>
      </c>
      <c r="N9" s="38">
        <f t="shared" si="1"/>
        <v>342.76150627615061</v>
      </c>
      <c r="Q9" s="62" t="s">
        <v>13</v>
      </c>
      <c r="R9" s="63">
        <v>1260</v>
      </c>
      <c r="S9" s="63">
        <v>432900</v>
      </c>
      <c r="T9" s="60">
        <f>+(F16-S9)</f>
        <v>16000</v>
      </c>
      <c r="U9" s="61">
        <f>+T9/F16</f>
        <v>3.5642682111828916E-2</v>
      </c>
    </row>
    <row r="10" spans="4:22" ht="16.5" thickBot="1" x14ac:dyDescent="0.3">
      <c r="D10" s="3" t="s">
        <v>7</v>
      </c>
      <c r="E10" s="5">
        <v>1230</v>
      </c>
      <c r="F10" s="5">
        <v>421900</v>
      </c>
      <c r="G10" s="7">
        <f t="shared" si="0"/>
        <v>343.00813008130081</v>
      </c>
      <c r="K10" s="3" t="s">
        <v>7</v>
      </c>
      <c r="L10" s="5">
        <v>1230</v>
      </c>
      <c r="M10" s="35">
        <v>421900</v>
      </c>
      <c r="N10" s="38">
        <f t="shared" si="1"/>
        <v>343.00813008130081</v>
      </c>
      <c r="Q10" s="62" t="s">
        <v>14</v>
      </c>
      <c r="R10" s="63">
        <v>1190</v>
      </c>
      <c r="S10" s="63">
        <v>411600</v>
      </c>
      <c r="T10" s="60">
        <f>+(F17-S10)</f>
        <v>24000</v>
      </c>
      <c r="U10" s="61">
        <f>+T10/F17</f>
        <v>5.5096418732782371E-2</v>
      </c>
    </row>
    <row r="11" spans="4:22" ht="16.5" thickBot="1" x14ac:dyDescent="0.3">
      <c r="D11" s="3" t="s">
        <v>8</v>
      </c>
      <c r="E11" s="5">
        <v>1170</v>
      </c>
      <c r="F11" s="5">
        <v>415400</v>
      </c>
      <c r="G11" s="7">
        <f t="shared" si="0"/>
        <v>355.04273504273505</v>
      </c>
      <c r="I11" t="s">
        <v>18</v>
      </c>
      <c r="K11" s="12" t="s">
        <v>8</v>
      </c>
      <c r="L11" s="13">
        <v>1170</v>
      </c>
      <c r="M11" s="36">
        <v>415400</v>
      </c>
      <c r="N11" s="39">
        <f t="shared" si="1"/>
        <v>355.04273504273505</v>
      </c>
      <c r="T11" s="4">
        <f>SUM(T6:T10)</f>
        <v>100000</v>
      </c>
      <c r="U11" s="4">
        <f>SUM(T6:T10)</f>
        <v>100000</v>
      </c>
      <c r="V11" s="30">
        <f>+U11/F18</f>
        <v>1.9807079050052488E-2</v>
      </c>
    </row>
    <row r="12" spans="4:22" ht="16.5" thickBot="1" x14ac:dyDescent="0.3">
      <c r="D12" s="8" t="s">
        <v>9</v>
      </c>
      <c r="E12" s="9">
        <v>1160</v>
      </c>
      <c r="F12" s="9">
        <v>428700</v>
      </c>
      <c r="G12" s="10">
        <f t="shared" si="0"/>
        <v>369.56896551724139</v>
      </c>
      <c r="K12" s="8" t="s">
        <v>9</v>
      </c>
      <c r="L12" s="9">
        <v>1160</v>
      </c>
      <c r="M12" s="37">
        <f>$S$6</f>
        <v>404700</v>
      </c>
      <c r="N12" s="40">
        <f t="shared" si="1"/>
        <v>348.87931034482756</v>
      </c>
    </row>
    <row r="13" spans="4:22" ht="16.5" thickBot="1" x14ac:dyDescent="0.3">
      <c r="D13" s="8" t="s">
        <v>10</v>
      </c>
      <c r="E13" s="9">
        <v>1200</v>
      </c>
      <c r="F13" s="9">
        <v>436200</v>
      </c>
      <c r="G13" s="10">
        <f t="shared" si="0"/>
        <v>363.5</v>
      </c>
      <c r="K13" s="8" t="s">
        <v>10</v>
      </c>
      <c r="L13" s="9">
        <v>1200</v>
      </c>
      <c r="M13" s="37">
        <f>$S$7</f>
        <v>416200</v>
      </c>
      <c r="N13" s="40">
        <f t="shared" si="1"/>
        <v>346.83333333333331</v>
      </c>
    </row>
    <row r="14" spans="4:22" ht="29.25" thickBot="1" x14ac:dyDescent="0.3">
      <c r="D14" s="12" t="s">
        <v>11</v>
      </c>
      <c r="E14" s="13">
        <v>1225</v>
      </c>
      <c r="F14" s="13">
        <v>429500</v>
      </c>
      <c r="G14" s="14">
        <f t="shared" si="0"/>
        <v>350.61224489795916</v>
      </c>
      <c r="K14" s="12" t="s">
        <v>11</v>
      </c>
      <c r="L14" s="13">
        <v>1225</v>
      </c>
      <c r="M14" s="36">
        <v>429500</v>
      </c>
      <c r="N14" s="39">
        <f t="shared" si="1"/>
        <v>350.61224489795916</v>
      </c>
    </row>
    <row r="15" spans="4:22" ht="16.5" thickBot="1" x14ac:dyDescent="0.3">
      <c r="D15" s="8" t="s">
        <v>12</v>
      </c>
      <c r="E15" s="9">
        <v>1240</v>
      </c>
      <c r="F15" s="9">
        <v>441300</v>
      </c>
      <c r="G15" s="10">
        <f t="shared" si="0"/>
        <v>355.88709677419354</v>
      </c>
      <c r="K15" s="8" t="s">
        <v>12</v>
      </c>
      <c r="L15" s="9">
        <v>1240</v>
      </c>
      <c r="M15" s="37">
        <f>$S$8</f>
        <v>425300</v>
      </c>
      <c r="N15" s="40">
        <f t="shared" si="1"/>
        <v>342.98387096774195</v>
      </c>
      <c r="Q15" s="91" t="s">
        <v>77</v>
      </c>
      <c r="R15" s="91"/>
      <c r="S15" s="91"/>
      <c r="T15" s="91"/>
      <c r="U15" s="91"/>
    </row>
    <row r="16" spans="4:22" ht="16.5" thickBot="1" x14ac:dyDescent="0.3">
      <c r="D16" s="8" t="s">
        <v>13</v>
      </c>
      <c r="E16" s="9">
        <v>1260</v>
      </c>
      <c r="F16" s="9">
        <v>448900</v>
      </c>
      <c r="G16" s="10">
        <f t="shared" si="0"/>
        <v>356.26984126984127</v>
      </c>
      <c r="K16" s="8" t="s">
        <v>13</v>
      </c>
      <c r="L16" s="9">
        <v>1260</v>
      </c>
      <c r="M16" s="37">
        <f>$S$9</f>
        <v>432900</v>
      </c>
      <c r="N16" s="40">
        <f t="shared" si="1"/>
        <v>343.57142857142856</v>
      </c>
      <c r="Q16" s="73" t="s">
        <v>30</v>
      </c>
      <c r="R16" s="74" t="s">
        <v>22</v>
      </c>
      <c r="S16" s="74" t="s">
        <v>23</v>
      </c>
      <c r="T16" s="74" t="s">
        <v>31</v>
      </c>
      <c r="U16" s="74" t="s">
        <v>25</v>
      </c>
    </row>
    <row r="17" spans="4:22" ht="16.5" thickBot="1" x14ac:dyDescent="0.3">
      <c r="D17" s="8" t="s">
        <v>14</v>
      </c>
      <c r="E17" s="9">
        <v>1190</v>
      </c>
      <c r="F17" s="9">
        <v>435600</v>
      </c>
      <c r="G17" s="10">
        <f t="shared" si="0"/>
        <v>366.05042016806721</v>
      </c>
      <c r="K17" s="8" t="s">
        <v>14</v>
      </c>
      <c r="L17" s="9">
        <v>1190</v>
      </c>
      <c r="M17" s="37">
        <f>$S$10</f>
        <v>411600</v>
      </c>
      <c r="N17" s="40">
        <f t="shared" si="1"/>
        <v>345.88235294117646</v>
      </c>
      <c r="Q17" s="75" t="s">
        <v>43</v>
      </c>
      <c r="R17" s="76">
        <v>3534112</v>
      </c>
      <c r="S17" s="76">
        <v>3464104</v>
      </c>
      <c r="T17" s="76">
        <v>70008</v>
      </c>
      <c r="U17" s="77">
        <v>9941136</v>
      </c>
    </row>
    <row r="18" spans="4:22" ht="16.5" thickBot="1" x14ac:dyDescent="0.3">
      <c r="D18" s="15" t="s">
        <v>15</v>
      </c>
      <c r="E18" s="16">
        <f>SUM(E6:E17)</f>
        <v>14310</v>
      </c>
      <c r="F18" s="41">
        <f>SUM(F6:F17)</f>
        <v>5048700</v>
      </c>
      <c r="G18" s="14">
        <f t="shared" si="0"/>
        <v>352.80922431865827</v>
      </c>
      <c r="K18" s="6" t="s">
        <v>15</v>
      </c>
      <c r="L18" s="4">
        <f>SUM(L6:L17)</f>
        <v>14310</v>
      </c>
      <c r="M18" s="42">
        <f>SUM(M6:M17)</f>
        <v>4948700</v>
      </c>
      <c r="N18" s="7">
        <f t="shared" si="1"/>
        <v>345.8211041229909</v>
      </c>
      <c r="Q18" s="78" t="s">
        <v>44</v>
      </c>
      <c r="R18" s="79">
        <v>403873</v>
      </c>
      <c r="S18" s="79">
        <v>395881</v>
      </c>
      <c r="T18" s="79">
        <v>7992</v>
      </c>
      <c r="U18" s="80">
        <v>1134864</v>
      </c>
    </row>
    <row r="19" spans="4:22" ht="16.5" thickBot="1" x14ac:dyDescent="0.3">
      <c r="D19" s="15"/>
      <c r="E19" s="16"/>
      <c r="F19" s="26"/>
      <c r="G19" s="7"/>
      <c r="K19" s="6"/>
      <c r="L19" s="4"/>
      <c r="M19" s="27"/>
      <c r="N19" s="7"/>
      <c r="Q19" s="75" t="s">
        <v>28</v>
      </c>
      <c r="R19" s="76">
        <v>757306</v>
      </c>
      <c r="S19" s="76">
        <v>742306</v>
      </c>
      <c r="T19" s="76">
        <v>15000</v>
      </c>
      <c r="U19" s="77">
        <v>2130000</v>
      </c>
    </row>
    <row r="20" spans="4:22" ht="16.5" thickBot="1" x14ac:dyDescent="0.3">
      <c r="I20" s="86"/>
      <c r="Q20" s="78" t="s">
        <v>45</v>
      </c>
      <c r="R20" s="79">
        <v>353409</v>
      </c>
      <c r="S20" s="79">
        <v>346409</v>
      </c>
      <c r="T20" s="79">
        <v>7000</v>
      </c>
      <c r="U20" s="80">
        <v>994000</v>
      </c>
    </row>
    <row r="22" spans="4:22" ht="16.5" thickBot="1" x14ac:dyDescent="0.3"/>
    <row r="23" spans="4:22" ht="45.75" thickBot="1" x14ac:dyDescent="0.3">
      <c r="D23" s="1" t="s">
        <v>0</v>
      </c>
      <c r="E23" s="1" t="s">
        <v>75</v>
      </c>
      <c r="F23" s="2" t="s">
        <v>19</v>
      </c>
      <c r="G23" s="2" t="s">
        <v>20</v>
      </c>
      <c r="H23" s="2" t="s">
        <v>1</v>
      </c>
      <c r="K23" s="1" t="s">
        <v>0</v>
      </c>
      <c r="L23" s="2" t="s">
        <v>19</v>
      </c>
      <c r="M23" s="2" t="s">
        <v>20</v>
      </c>
      <c r="N23" s="2" t="s">
        <v>1</v>
      </c>
      <c r="Q23" s="89" t="s">
        <v>42</v>
      </c>
      <c r="R23" s="89"/>
      <c r="S23" s="89"/>
      <c r="T23" s="89"/>
      <c r="U23" s="89"/>
      <c r="V23" s="89"/>
    </row>
    <row r="24" spans="4:22" ht="16.5" thickBot="1" x14ac:dyDescent="0.3">
      <c r="D24" s="3" t="s">
        <v>3</v>
      </c>
      <c r="E24" s="5">
        <v>1180</v>
      </c>
      <c r="F24" s="11">
        <v>132</v>
      </c>
      <c r="G24" s="13">
        <v>53130000</v>
      </c>
      <c r="H24" s="28">
        <f t="shared" ref="H24:H35" si="2">+G24/F24</f>
        <v>402500</v>
      </c>
      <c r="K24" s="3" t="s">
        <v>3</v>
      </c>
      <c r="L24" s="11">
        <v>132</v>
      </c>
      <c r="M24" s="5">
        <v>53130000</v>
      </c>
      <c r="N24" s="28">
        <f t="shared" ref="N24:N35" si="3">+M24/L24</f>
        <v>402500</v>
      </c>
      <c r="Q24" s="66" t="s">
        <v>30</v>
      </c>
      <c r="R24" s="66" t="s">
        <v>9</v>
      </c>
      <c r="S24" s="66" t="s">
        <v>10</v>
      </c>
      <c r="T24" s="66" t="s">
        <v>12</v>
      </c>
      <c r="U24" s="66" t="s">
        <v>13</v>
      </c>
      <c r="V24" s="66" t="s">
        <v>14</v>
      </c>
    </row>
    <row r="25" spans="4:22" ht="16.5" thickBot="1" x14ac:dyDescent="0.3">
      <c r="D25" s="3" t="s">
        <v>4</v>
      </c>
      <c r="E25" s="13">
        <v>1050</v>
      </c>
      <c r="F25" s="11">
        <v>128</v>
      </c>
      <c r="G25" s="13">
        <v>46310400</v>
      </c>
      <c r="H25" s="28">
        <f t="shared" si="2"/>
        <v>361800</v>
      </c>
      <c r="K25" s="3" t="s">
        <v>4</v>
      </c>
      <c r="L25" s="11">
        <v>128</v>
      </c>
      <c r="M25" s="5">
        <v>46310400</v>
      </c>
      <c r="N25" s="28">
        <f t="shared" si="3"/>
        <v>361800</v>
      </c>
      <c r="Q25" s="65" t="s">
        <v>17</v>
      </c>
      <c r="R25" s="65">
        <v>24000</v>
      </c>
      <c r="S25" s="65">
        <v>20000</v>
      </c>
      <c r="T25" s="65">
        <v>16000</v>
      </c>
      <c r="U25" s="65">
        <v>16000</v>
      </c>
      <c r="V25" s="65">
        <v>24000</v>
      </c>
    </row>
    <row r="26" spans="4:22" ht="16.5" thickBot="1" x14ac:dyDescent="0.3">
      <c r="D26" s="3" t="s">
        <v>5</v>
      </c>
      <c r="E26" s="13">
        <v>1210</v>
      </c>
      <c r="F26" s="11">
        <v>135</v>
      </c>
      <c r="G26" s="13">
        <v>56335500</v>
      </c>
      <c r="H26" s="28">
        <f t="shared" si="2"/>
        <v>417300</v>
      </c>
      <c r="K26" s="3" t="s">
        <v>5</v>
      </c>
      <c r="L26" s="11">
        <v>135</v>
      </c>
      <c r="M26" s="21">
        <v>56335500</v>
      </c>
      <c r="N26" s="28">
        <f t="shared" si="3"/>
        <v>417300</v>
      </c>
      <c r="Q26" s="66" t="s">
        <v>26</v>
      </c>
      <c r="R26" s="66">
        <f>+$AE$41/5+4000</f>
        <v>4000</v>
      </c>
      <c r="S26" s="66">
        <v>14001.6</v>
      </c>
      <c r="T26" s="66">
        <v>10001.6</v>
      </c>
      <c r="U26" s="66">
        <v>10001.6</v>
      </c>
      <c r="V26" s="66">
        <v>18001.599999999999</v>
      </c>
    </row>
    <row r="27" spans="4:22" ht="16.5" thickBot="1" x14ac:dyDescent="0.3">
      <c r="D27" s="3" t="s">
        <v>6</v>
      </c>
      <c r="E27" s="13">
        <v>1195</v>
      </c>
      <c r="F27" s="11">
        <v>138</v>
      </c>
      <c r="G27" s="13">
        <v>56524800</v>
      </c>
      <c r="H27" s="28">
        <f t="shared" si="2"/>
        <v>409600</v>
      </c>
      <c r="K27" s="3" t="s">
        <v>6</v>
      </c>
      <c r="L27" s="11">
        <v>138</v>
      </c>
      <c r="M27" s="21">
        <v>56524800</v>
      </c>
      <c r="N27" s="28">
        <f t="shared" si="3"/>
        <v>409600</v>
      </c>
      <c r="Q27" s="65" t="s">
        <v>27</v>
      </c>
      <c r="R27" s="65">
        <f>+$AE$42/5</f>
        <v>0</v>
      </c>
      <c r="S27" s="65">
        <f t="shared" ref="S27:V27" si="4">+$AE$42/5</f>
        <v>0</v>
      </c>
      <c r="T27" s="65">
        <f t="shared" si="4"/>
        <v>0</v>
      </c>
      <c r="U27" s="65">
        <f t="shared" si="4"/>
        <v>0</v>
      </c>
      <c r="V27" s="65">
        <f t="shared" si="4"/>
        <v>0</v>
      </c>
    </row>
    <row r="28" spans="4:22" ht="16.5" thickBot="1" x14ac:dyDescent="0.3">
      <c r="D28" s="3" t="s">
        <v>7</v>
      </c>
      <c r="E28" s="13">
        <v>1230</v>
      </c>
      <c r="F28" s="11">
        <v>142</v>
      </c>
      <c r="G28" s="13">
        <v>59909800</v>
      </c>
      <c r="H28" s="28">
        <f t="shared" si="2"/>
        <v>421900</v>
      </c>
      <c r="K28" s="3" t="s">
        <v>7</v>
      </c>
      <c r="L28" s="11">
        <v>142</v>
      </c>
      <c r="M28" s="21">
        <v>59909800</v>
      </c>
      <c r="N28" s="28">
        <f t="shared" si="3"/>
        <v>421900</v>
      </c>
      <c r="Q28" s="66" t="s">
        <v>28</v>
      </c>
      <c r="R28" s="66">
        <f>+$AE$43/5</f>
        <v>0</v>
      </c>
      <c r="S28" s="66">
        <f t="shared" ref="S28:V28" si="5">+$AE$43/5</f>
        <v>0</v>
      </c>
      <c r="T28" s="66">
        <f t="shared" si="5"/>
        <v>0</v>
      </c>
      <c r="U28" s="66">
        <f t="shared" si="5"/>
        <v>0</v>
      </c>
      <c r="V28" s="66">
        <f t="shared" si="5"/>
        <v>0</v>
      </c>
    </row>
    <row r="29" spans="4:22" ht="16.5" thickBot="1" x14ac:dyDescent="0.3">
      <c r="D29" s="3" t="s">
        <v>8</v>
      </c>
      <c r="E29" s="13">
        <v>1170</v>
      </c>
      <c r="F29" s="11">
        <v>147</v>
      </c>
      <c r="G29" s="13">
        <v>61063800</v>
      </c>
      <c r="H29" s="28">
        <f t="shared" si="2"/>
        <v>415400</v>
      </c>
      <c r="K29" s="3" t="s">
        <v>8</v>
      </c>
      <c r="L29" s="31">
        <v>147</v>
      </c>
      <c r="M29" s="21">
        <v>61063800</v>
      </c>
      <c r="N29" s="28">
        <f t="shared" si="3"/>
        <v>415400</v>
      </c>
      <c r="O29" s="18"/>
      <c r="Q29" s="65" t="s">
        <v>29</v>
      </c>
      <c r="R29" s="65">
        <f>+$AE$44/5</f>
        <v>0</v>
      </c>
      <c r="S29" s="65">
        <v>3000</v>
      </c>
      <c r="T29" s="65">
        <f t="shared" ref="T29:V29" si="6">+$AE$44/5</f>
        <v>0</v>
      </c>
      <c r="U29" s="65">
        <f t="shared" si="6"/>
        <v>0</v>
      </c>
      <c r="V29" s="65">
        <f t="shared" si="6"/>
        <v>0</v>
      </c>
    </row>
    <row r="30" spans="4:22" ht="16.5" thickBot="1" x14ac:dyDescent="0.3">
      <c r="D30" s="3" t="s">
        <v>9</v>
      </c>
      <c r="E30" s="13">
        <v>1160</v>
      </c>
      <c r="F30" s="11">
        <v>150</v>
      </c>
      <c r="G30" s="13">
        <v>64305000</v>
      </c>
      <c r="H30" s="28">
        <f t="shared" si="2"/>
        <v>428700</v>
      </c>
      <c r="K30" s="12" t="s">
        <v>9</v>
      </c>
      <c r="L30" s="32">
        <f>+F30*(1-U6)</f>
        <v>141.60251924422673</v>
      </c>
      <c r="M30" s="33">
        <f>+L30*S6</f>
        <v>57306539.538138554</v>
      </c>
      <c r="N30" s="18">
        <f t="shared" si="3"/>
        <v>404700</v>
      </c>
    </row>
    <row r="31" spans="4:22" ht="16.5" thickBot="1" x14ac:dyDescent="0.3">
      <c r="D31" s="3" t="s">
        <v>10</v>
      </c>
      <c r="E31" s="13">
        <v>1200</v>
      </c>
      <c r="F31" s="11">
        <v>148</v>
      </c>
      <c r="G31" s="13">
        <v>64557600</v>
      </c>
      <c r="H31" s="28">
        <f t="shared" si="2"/>
        <v>436200</v>
      </c>
      <c r="K31" s="12" t="s">
        <v>10</v>
      </c>
      <c r="L31" s="32">
        <f>+F31*(1-U7)</f>
        <v>141.21412196240257</v>
      </c>
      <c r="M31" s="33">
        <f>+L31*S7</f>
        <v>58773317.560751952</v>
      </c>
      <c r="N31" s="18">
        <f t="shared" si="3"/>
        <v>416200</v>
      </c>
    </row>
    <row r="32" spans="4:22" ht="29.25" thickBot="1" x14ac:dyDescent="0.3">
      <c r="D32" s="3" t="s">
        <v>11</v>
      </c>
      <c r="E32" s="13">
        <v>1225</v>
      </c>
      <c r="F32" s="11">
        <v>140</v>
      </c>
      <c r="G32" s="13">
        <v>60130000</v>
      </c>
      <c r="H32" s="28">
        <f t="shared" si="2"/>
        <v>429500</v>
      </c>
      <c r="K32" s="12" t="s">
        <v>11</v>
      </c>
      <c r="L32" s="32">
        <v>140</v>
      </c>
      <c r="M32" s="33">
        <v>60130000</v>
      </c>
      <c r="N32" s="18">
        <f t="shared" si="3"/>
        <v>429500</v>
      </c>
      <c r="O32" s="18"/>
    </row>
    <row r="33" spans="4:31" ht="16.5" thickBot="1" x14ac:dyDescent="0.3">
      <c r="D33" s="3" t="s">
        <v>12</v>
      </c>
      <c r="E33" s="13">
        <v>1240</v>
      </c>
      <c r="F33" s="11">
        <v>145</v>
      </c>
      <c r="G33" s="13">
        <v>64988500</v>
      </c>
      <c r="H33" s="28">
        <f t="shared" si="2"/>
        <v>448196.55172413791</v>
      </c>
      <c r="K33" s="12" t="s">
        <v>12</v>
      </c>
      <c r="L33" s="34">
        <v>142.253941</v>
      </c>
      <c r="M33" s="33">
        <f>+L33*S8</f>
        <v>60500601.107299998</v>
      </c>
      <c r="N33" s="25">
        <f t="shared" si="3"/>
        <v>425300</v>
      </c>
      <c r="R33" s="92" t="s">
        <v>21</v>
      </c>
      <c r="S33" s="92">
        <v>142</v>
      </c>
    </row>
    <row r="34" spans="4:31" ht="16.5" thickBot="1" x14ac:dyDescent="0.3">
      <c r="D34" s="3" t="s">
        <v>13</v>
      </c>
      <c r="E34" s="13">
        <v>1260</v>
      </c>
      <c r="F34" s="11">
        <v>149</v>
      </c>
      <c r="G34" s="13">
        <v>66885100</v>
      </c>
      <c r="H34" s="28">
        <f t="shared" si="2"/>
        <v>448893.28859060403</v>
      </c>
      <c r="K34" s="12" t="s">
        <v>13</v>
      </c>
      <c r="L34" s="32">
        <f>+F34*(1-U9)</f>
        <v>143.6892403653375</v>
      </c>
      <c r="M34" s="33">
        <f>+L34*S9</f>
        <v>62203072.154154606</v>
      </c>
      <c r="N34" s="25">
        <f t="shared" si="3"/>
        <v>432900</v>
      </c>
    </row>
    <row r="35" spans="4:31" ht="16.5" thickBot="1" x14ac:dyDescent="0.3">
      <c r="D35" s="3" t="s">
        <v>14</v>
      </c>
      <c r="E35" s="13">
        <v>1190</v>
      </c>
      <c r="F35" s="11">
        <v>151</v>
      </c>
      <c r="G35" s="13">
        <v>65775600</v>
      </c>
      <c r="H35" s="28">
        <f t="shared" si="2"/>
        <v>435600</v>
      </c>
      <c r="K35" s="12" t="s">
        <v>14</v>
      </c>
      <c r="L35" s="32">
        <f>+F35*(1-U10)</f>
        <v>142.68044077134985</v>
      </c>
      <c r="M35" s="33">
        <f>+L35*S10</f>
        <v>58727269.4214876</v>
      </c>
      <c r="N35" s="25">
        <f t="shared" si="3"/>
        <v>411600</v>
      </c>
    </row>
    <row r="36" spans="4:31" x14ac:dyDescent="0.25">
      <c r="E36" s="16">
        <f>SUM(E24:E35)</f>
        <v>14310</v>
      </c>
      <c r="F36" s="87">
        <f>SUM(F24:F35)/12</f>
        <v>142.08333333333334</v>
      </c>
      <c r="G36" s="4">
        <f>SUM(G24:G35)</f>
        <v>719916100</v>
      </c>
      <c r="L36">
        <f>SUM(L24:L35)/12</f>
        <v>139.45335527860973</v>
      </c>
      <c r="M36" s="4"/>
      <c r="O36" s="18"/>
      <c r="R36" t="s">
        <v>81</v>
      </c>
    </row>
    <row r="37" spans="4:31" x14ac:dyDescent="0.25">
      <c r="R37" s="55" t="s">
        <v>30</v>
      </c>
      <c r="S37" s="55" t="s">
        <v>22</v>
      </c>
      <c r="T37" s="55" t="s">
        <v>23</v>
      </c>
      <c r="U37" s="55" t="s">
        <v>31</v>
      </c>
      <c r="V37" s="55" t="s">
        <v>25</v>
      </c>
    </row>
    <row r="38" spans="4:31" x14ac:dyDescent="0.25">
      <c r="G38" s="17">
        <v>690915100</v>
      </c>
      <c r="L38" s="19">
        <f>SUM(M24:M29)+M32+M30+M31+M33+M34+M35</f>
        <v>690915099.78183281</v>
      </c>
      <c r="N38" s="24"/>
      <c r="R38" s="54" t="s">
        <v>26</v>
      </c>
      <c r="S38" s="56">
        <f>3533578+534</f>
        <v>3534112</v>
      </c>
      <c r="T38" s="56">
        <f>3463876+228</f>
        <v>3464104</v>
      </c>
      <c r="U38" s="56">
        <f>$S$38-$T$38</f>
        <v>70008</v>
      </c>
      <c r="V38" s="57">
        <f>U38*$S$33</f>
        <v>9941136</v>
      </c>
    </row>
    <row r="39" spans="4:31" x14ac:dyDescent="0.25">
      <c r="M39" s="25"/>
      <c r="O39" s="18"/>
      <c r="R39" s="54" t="s">
        <v>27</v>
      </c>
      <c r="S39" s="56">
        <v>403873</v>
      </c>
      <c r="T39" s="56">
        <v>395881</v>
      </c>
      <c r="U39" s="56">
        <f>$S$39-$T$39</f>
        <v>7992</v>
      </c>
      <c r="V39" s="57">
        <f>U39*$S$33</f>
        <v>1134864</v>
      </c>
    </row>
    <row r="40" spans="4:31" ht="16.5" thickBot="1" x14ac:dyDescent="0.3">
      <c r="L40" s="17">
        <v>690915100</v>
      </c>
      <c r="N40" s="4"/>
      <c r="R40" s="54" t="s">
        <v>28</v>
      </c>
      <c r="S40" s="56">
        <v>757306</v>
      </c>
      <c r="T40" s="58">
        <v>742306</v>
      </c>
      <c r="U40" s="56">
        <f>$S$40-$T$40</f>
        <v>15000</v>
      </c>
      <c r="V40" s="57">
        <f>U40*$S$33</f>
        <v>2130000</v>
      </c>
    </row>
    <row r="41" spans="4:31" ht="16.5" thickBot="1" x14ac:dyDescent="0.3">
      <c r="I41" s="18"/>
      <c r="R41" s="54" t="s">
        <v>29</v>
      </c>
      <c r="S41" s="56">
        <v>353409</v>
      </c>
      <c r="T41" s="56">
        <v>346409</v>
      </c>
      <c r="U41" s="56">
        <f>$S$41-$T$41</f>
        <v>7000</v>
      </c>
      <c r="V41" s="57">
        <f>U41*$S$33</f>
        <v>994000</v>
      </c>
      <c r="AE41" s="60"/>
    </row>
    <row r="42" spans="4:31" ht="16.5" thickBot="1" x14ac:dyDescent="0.3">
      <c r="N42" s="22"/>
      <c r="V42" s="72">
        <f>SUM(V38:V41)</f>
        <v>14200000</v>
      </c>
      <c r="AE42" s="60"/>
    </row>
    <row r="43" spans="4:31" ht="16.5" thickBot="1" x14ac:dyDescent="0.3">
      <c r="N43" s="23"/>
      <c r="S43" s="4">
        <f>SUM(S38:S41)</f>
        <v>5048700</v>
      </c>
      <c r="T43" s="4">
        <f>SUM(T38:T41)</f>
        <v>4948700</v>
      </c>
      <c r="U43" s="4">
        <f>SUM(U38:U41)</f>
        <v>100000</v>
      </c>
      <c r="AE43" s="60"/>
    </row>
    <row r="44" spans="4:31" ht="16.5" thickBot="1" x14ac:dyDescent="0.3">
      <c r="S44" s="4"/>
      <c r="AE44" s="60"/>
    </row>
    <row r="45" spans="4:31" ht="16.5" thickBot="1" x14ac:dyDescent="0.3">
      <c r="S45" s="4"/>
      <c r="AE45" s="60"/>
    </row>
    <row r="46" spans="4:31" x14ac:dyDescent="0.25">
      <c r="S46" s="48"/>
      <c r="U46" s="29"/>
    </row>
    <row r="47" spans="4:31" x14ac:dyDescent="0.25">
      <c r="U47" s="29"/>
    </row>
    <row r="48" spans="4:31" x14ac:dyDescent="0.25">
      <c r="U48" s="29"/>
    </row>
    <row r="49" spans="18:21" x14ac:dyDescent="0.25">
      <c r="U49" s="29"/>
    </row>
    <row r="53" spans="18:21" x14ac:dyDescent="0.25">
      <c r="R53" s="50" t="s">
        <v>30</v>
      </c>
      <c r="S53" s="53" t="s">
        <v>24</v>
      </c>
    </row>
    <row r="54" spans="18:21" x14ac:dyDescent="0.25">
      <c r="R54" s="49" t="s">
        <v>26</v>
      </c>
      <c r="S54" s="51">
        <f>$S$38-$T$38</f>
        <v>70008</v>
      </c>
    </row>
    <row r="55" spans="18:21" x14ac:dyDescent="0.25">
      <c r="R55" s="50" t="s">
        <v>27</v>
      </c>
      <c r="S55" s="51">
        <f>$S$39-$T$39</f>
        <v>7992</v>
      </c>
    </row>
    <row r="56" spans="18:21" x14ac:dyDescent="0.25">
      <c r="R56" s="49" t="s">
        <v>28</v>
      </c>
      <c r="S56" s="52">
        <f>$S$40-$T$40</f>
        <v>15000</v>
      </c>
    </row>
    <row r="57" spans="18:21" x14ac:dyDescent="0.25">
      <c r="R57" s="50" t="s">
        <v>29</v>
      </c>
      <c r="S57" s="51">
        <f>$S$41-$T$41</f>
        <v>7000</v>
      </c>
    </row>
    <row r="58" spans="18:21" x14ac:dyDescent="0.25">
      <c r="S58" s="4">
        <f>SUM(S54:S57)</f>
        <v>100000</v>
      </c>
    </row>
  </sheetData>
  <mergeCells count="4">
    <mergeCell ref="Q23:V23"/>
    <mergeCell ref="D4:G4"/>
    <mergeCell ref="K4:N4"/>
    <mergeCell ref="Q15:U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5146-A6A2-954A-880E-AC5FB3C0FEAD}">
  <dimension ref="B4:M75"/>
  <sheetViews>
    <sheetView zoomScale="70" zoomScaleNormal="70" workbookViewId="0">
      <selection activeCell="F60" sqref="F60"/>
    </sheetView>
  </sheetViews>
  <sheetFormatPr baseColWidth="10" defaultRowHeight="15.75" x14ac:dyDescent="0.25"/>
  <cols>
    <col min="2" max="2" width="34" bestFit="1" customWidth="1"/>
    <col min="3" max="3" width="19.25" bestFit="1" customWidth="1"/>
    <col min="4" max="5" width="13" bestFit="1" customWidth="1"/>
    <col min="6" max="6" width="20" bestFit="1" customWidth="1"/>
    <col min="7" max="9" width="13" bestFit="1" customWidth="1"/>
    <col min="10" max="12" width="14.625" bestFit="1" customWidth="1"/>
    <col min="13" max="13" width="15.625" bestFit="1" customWidth="1"/>
  </cols>
  <sheetData>
    <row r="4" spans="2:7" x14ac:dyDescent="0.25">
      <c r="B4" s="98" t="s">
        <v>30</v>
      </c>
      <c r="C4" s="64" t="s">
        <v>40</v>
      </c>
      <c r="D4" s="64" t="s">
        <v>50</v>
      </c>
      <c r="E4" s="64" t="s">
        <v>33</v>
      </c>
      <c r="F4" s="64" t="s">
        <v>34</v>
      </c>
      <c r="G4" s="64" t="s">
        <v>79</v>
      </c>
    </row>
    <row r="5" spans="2:7" x14ac:dyDescent="0.25">
      <c r="B5" s="99" t="s">
        <v>36</v>
      </c>
      <c r="C5" s="71">
        <f>+C15</f>
        <v>20391975</v>
      </c>
      <c r="D5" s="70">
        <f>+C5*0.05</f>
        <v>1019598.75</v>
      </c>
      <c r="E5" s="82">
        <v>70008</v>
      </c>
      <c r="F5" s="70">
        <f>+E5*$F$14</f>
        <v>9941136</v>
      </c>
      <c r="G5" s="100">
        <f>+C5/$C$9</f>
        <v>0.42437687259750306</v>
      </c>
    </row>
    <row r="6" spans="2:7" x14ac:dyDescent="0.25">
      <c r="B6" s="98" t="s">
        <v>27</v>
      </c>
      <c r="C6" s="71">
        <f>C29</f>
        <v>1186812</v>
      </c>
      <c r="D6" s="70">
        <f>+C6*0.05</f>
        <v>59340.600000000006</v>
      </c>
      <c r="E6" s="82">
        <v>15000</v>
      </c>
      <c r="F6" s="70">
        <f>+E6*$F$14</f>
        <v>2130000</v>
      </c>
      <c r="G6" s="100">
        <f>+C6/$C$9</f>
        <v>2.4698714318803737E-2</v>
      </c>
    </row>
    <row r="7" spans="2:7" x14ac:dyDescent="0.25">
      <c r="B7" s="99" t="s">
        <v>28</v>
      </c>
      <c r="C7" s="70">
        <f>C22</f>
        <v>18472783</v>
      </c>
      <c r="D7" s="70">
        <f>+C7*0.05</f>
        <v>923639.15</v>
      </c>
      <c r="E7" s="82">
        <v>7992</v>
      </c>
      <c r="F7" s="70">
        <f>+E7*$F$14</f>
        <v>1134864</v>
      </c>
      <c r="G7" s="100">
        <f>+C7/$C$9</f>
        <v>0.38443661674321983</v>
      </c>
    </row>
    <row r="8" spans="2:7" x14ac:dyDescent="0.25">
      <c r="B8" s="98" t="s">
        <v>29</v>
      </c>
      <c r="C8" s="71">
        <f>C35</f>
        <v>8000000</v>
      </c>
      <c r="D8" s="70">
        <f>+C8*0.05</f>
        <v>400000</v>
      </c>
      <c r="E8" s="82">
        <v>7000</v>
      </c>
      <c r="F8" s="70">
        <f>+E8*$F$14</f>
        <v>994000</v>
      </c>
      <c r="G8" s="100">
        <f>+C8/$C$9</f>
        <v>0.16648779634047337</v>
      </c>
    </row>
    <row r="9" spans="2:7" x14ac:dyDescent="0.25">
      <c r="B9" s="66" t="s">
        <v>15</v>
      </c>
      <c r="C9" s="96">
        <f>SUM(C5:C8)</f>
        <v>48051570</v>
      </c>
      <c r="D9" s="96">
        <f>SUM(D5:D8)</f>
        <v>2402578.5</v>
      </c>
      <c r="E9" s="97">
        <f>SUM(E5:E8)</f>
        <v>100000</v>
      </c>
      <c r="F9" s="96">
        <f>SUM(F5:F8)</f>
        <v>14200000</v>
      </c>
      <c r="G9" s="86"/>
    </row>
    <row r="11" spans="2:7" x14ac:dyDescent="0.25">
      <c r="G11" s="59"/>
    </row>
    <row r="12" spans="2:7" x14ac:dyDescent="0.25">
      <c r="B12" s="81" t="s">
        <v>36</v>
      </c>
      <c r="C12" s="81"/>
    </row>
    <row r="13" spans="2:7" x14ac:dyDescent="0.25">
      <c r="B13" s="64" t="s">
        <v>41</v>
      </c>
      <c r="C13" s="67">
        <v>4078395</v>
      </c>
      <c r="F13" t="s">
        <v>35</v>
      </c>
    </row>
    <row r="14" spans="2:7" x14ac:dyDescent="0.25">
      <c r="B14" s="64" t="s">
        <v>49</v>
      </c>
      <c r="C14" s="64">
        <v>5</v>
      </c>
      <c r="F14">
        <v>142</v>
      </c>
    </row>
    <row r="15" spans="2:7" x14ac:dyDescent="0.25">
      <c r="B15" s="64" t="s">
        <v>38</v>
      </c>
      <c r="C15" s="67">
        <f>+C13*C14</f>
        <v>20391975</v>
      </c>
    </row>
    <row r="16" spans="2:7" x14ac:dyDescent="0.25">
      <c r="G16" s="85"/>
    </row>
    <row r="17" spans="2:7" x14ac:dyDescent="0.25">
      <c r="G17" s="85"/>
    </row>
    <row r="18" spans="2:7" x14ac:dyDescent="0.25">
      <c r="B18" s="83" t="s">
        <v>28</v>
      </c>
      <c r="C18" s="81"/>
      <c r="G18" s="85"/>
    </row>
    <row r="19" spans="2:7" x14ac:dyDescent="0.25">
      <c r="B19" s="64" t="s">
        <v>80</v>
      </c>
      <c r="C19" s="67">
        <v>7638793</v>
      </c>
      <c r="G19" s="85"/>
    </row>
    <row r="20" spans="2:7" x14ac:dyDescent="0.25">
      <c r="B20" s="64" t="s">
        <v>46</v>
      </c>
      <c r="C20" s="67">
        <v>9028325</v>
      </c>
      <c r="G20" s="85"/>
    </row>
    <row r="21" spans="2:7" x14ac:dyDescent="0.25">
      <c r="B21" s="64" t="s">
        <v>39</v>
      </c>
      <c r="C21" s="67">
        <f>+C20*0.2</f>
        <v>1805665</v>
      </c>
      <c r="G21" s="85"/>
    </row>
    <row r="22" spans="2:7" x14ac:dyDescent="0.25">
      <c r="B22" s="64" t="s">
        <v>38</v>
      </c>
      <c r="C22" s="69">
        <f>+C19+C20+C21</f>
        <v>18472783</v>
      </c>
      <c r="G22" s="85"/>
    </row>
    <row r="23" spans="2:7" x14ac:dyDescent="0.25">
      <c r="G23" s="85"/>
    </row>
    <row r="24" spans="2:7" x14ac:dyDescent="0.25">
      <c r="G24" s="85"/>
    </row>
    <row r="25" spans="2:7" x14ac:dyDescent="0.25">
      <c r="B25" s="68" t="s">
        <v>27</v>
      </c>
      <c r="C25" s="68"/>
      <c r="G25" s="85"/>
    </row>
    <row r="26" spans="2:7" x14ac:dyDescent="0.25">
      <c r="B26" s="64" t="s">
        <v>51</v>
      </c>
      <c r="C26" s="88">
        <v>99</v>
      </c>
      <c r="G26" s="85"/>
    </row>
    <row r="27" spans="2:7" x14ac:dyDescent="0.25">
      <c r="B27" s="64" t="s">
        <v>37</v>
      </c>
      <c r="C27" s="67">
        <v>9990</v>
      </c>
      <c r="G27" s="85"/>
    </row>
    <row r="28" spans="2:7" x14ac:dyDescent="0.25">
      <c r="B28" s="64" t="s">
        <v>39</v>
      </c>
      <c r="C28" s="67">
        <f>+(C26*C27)*0.2</f>
        <v>197802</v>
      </c>
      <c r="G28" s="85"/>
    </row>
    <row r="29" spans="2:7" x14ac:dyDescent="0.25">
      <c r="B29" s="64" t="s">
        <v>38</v>
      </c>
      <c r="C29" s="67">
        <f>+C26*C27+C28</f>
        <v>1186812</v>
      </c>
      <c r="G29" s="85"/>
    </row>
    <row r="30" spans="2:7" x14ac:dyDescent="0.25">
      <c r="G30" s="85"/>
    </row>
    <row r="31" spans="2:7" x14ac:dyDescent="0.25">
      <c r="G31" s="85"/>
    </row>
    <row r="32" spans="2:7" x14ac:dyDescent="0.25">
      <c r="B32" s="68" t="s">
        <v>29</v>
      </c>
      <c r="C32" s="68"/>
      <c r="G32" s="85"/>
    </row>
    <row r="33" spans="2:13" x14ac:dyDescent="0.25">
      <c r="B33" s="64" t="s">
        <v>47</v>
      </c>
      <c r="C33" s="67">
        <v>6000000</v>
      </c>
      <c r="G33" s="85"/>
    </row>
    <row r="34" spans="2:13" x14ac:dyDescent="0.25">
      <c r="B34" s="64" t="s">
        <v>48</v>
      </c>
      <c r="C34" s="67">
        <v>2000000</v>
      </c>
    </row>
    <row r="35" spans="2:13" x14ac:dyDescent="0.25">
      <c r="B35" s="64" t="s">
        <v>38</v>
      </c>
      <c r="C35" s="67">
        <f>+C33+C34</f>
        <v>8000000</v>
      </c>
    </row>
    <row r="37" spans="2:13" x14ac:dyDescent="0.25">
      <c r="E37" s="64" t="s">
        <v>70</v>
      </c>
      <c r="F37" s="95">
        <v>2.7799999999999998E-2</v>
      </c>
      <c r="H37" s="64" t="s">
        <v>72</v>
      </c>
      <c r="I37" s="69">
        <f>NPV(F37,D60:M60)+C60</f>
        <v>29137000.933624417</v>
      </c>
    </row>
    <row r="38" spans="2:13" x14ac:dyDescent="0.25">
      <c r="E38" s="64" t="s">
        <v>71</v>
      </c>
      <c r="F38" s="64">
        <v>10</v>
      </c>
      <c r="H38" s="64" t="s">
        <v>73</v>
      </c>
      <c r="I38" s="95">
        <f>IRR(C60:M60)</f>
        <v>5.6286133605540689E-2</v>
      </c>
    </row>
    <row r="41" spans="2:13" x14ac:dyDescent="0.25">
      <c r="B41" s="93" t="s">
        <v>52</v>
      </c>
      <c r="C41" s="64">
        <v>0</v>
      </c>
      <c r="D41" s="64">
        <v>1</v>
      </c>
      <c r="E41" s="64">
        <v>2</v>
      </c>
      <c r="F41" s="64">
        <v>3</v>
      </c>
      <c r="G41" s="64">
        <v>4</v>
      </c>
      <c r="H41" s="64">
        <v>5</v>
      </c>
      <c r="I41" s="64">
        <v>6</v>
      </c>
      <c r="J41" s="64">
        <v>7</v>
      </c>
      <c r="K41" s="64">
        <v>8</v>
      </c>
      <c r="L41" s="64">
        <v>9</v>
      </c>
      <c r="M41" s="64">
        <v>10</v>
      </c>
    </row>
    <row r="42" spans="2:13" x14ac:dyDescent="0.25">
      <c r="B42" s="93" t="s">
        <v>53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</row>
    <row r="43" spans="2:13" x14ac:dyDescent="0.25">
      <c r="B43" s="93" t="s">
        <v>54</v>
      </c>
      <c r="C43" s="64"/>
      <c r="D43" s="69">
        <f>F9</f>
        <v>14200000</v>
      </c>
      <c r="E43" s="69">
        <f t="shared" ref="E43:M43" si="0">+D43*(1+$F$37)</f>
        <v>14594760</v>
      </c>
      <c r="F43" s="69">
        <f t="shared" si="0"/>
        <v>15000494.328000002</v>
      </c>
      <c r="G43" s="69">
        <f t="shared" si="0"/>
        <v>15417508.070318403</v>
      </c>
      <c r="H43" s="69">
        <f t="shared" si="0"/>
        <v>15846114.794673255</v>
      </c>
      <c r="I43" s="69">
        <f t="shared" si="0"/>
        <v>16286636.785965173</v>
      </c>
      <c r="J43" s="69">
        <f t="shared" si="0"/>
        <v>16739405.288615005</v>
      </c>
      <c r="K43" s="69">
        <f t="shared" si="0"/>
        <v>17204760.755638503</v>
      </c>
      <c r="L43" s="69">
        <f t="shared" si="0"/>
        <v>17683053.104645252</v>
      </c>
      <c r="M43" s="69">
        <f t="shared" si="0"/>
        <v>18174641.98095439</v>
      </c>
    </row>
    <row r="44" spans="2:13" x14ac:dyDescent="0.25">
      <c r="B44" s="93" t="s">
        <v>55</v>
      </c>
      <c r="C44" s="64"/>
      <c r="D44" s="69">
        <f>D9</f>
        <v>2402578.5</v>
      </c>
      <c r="E44" s="69">
        <f t="shared" ref="E44:M44" si="1">+D44*(1+$F$37)</f>
        <v>2469370.1823</v>
      </c>
      <c r="F44" s="69">
        <f t="shared" si="1"/>
        <v>2538018.6733679399</v>
      </c>
      <c r="G44" s="69">
        <f t="shared" si="1"/>
        <v>2608575.592487569</v>
      </c>
      <c r="H44" s="69">
        <f t="shared" si="1"/>
        <v>2681093.9939587237</v>
      </c>
      <c r="I44" s="69">
        <f t="shared" si="1"/>
        <v>2755628.4069907763</v>
      </c>
      <c r="J44" s="69">
        <f t="shared" si="1"/>
        <v>2832234.8767051199</v>
      </c>
      <c r="K44" s="69">
        <f t="shared" si="1"/>
        <v>2910971.0062775225</v>
      </c>
      <c r="L44" s="69">
        <f t="shared" si="1"/>
        <v>2991896.0002520378</v>
      </c>
      <c r="M44" s="69">
        <f t="shared" si="1"/>
        <v>3075070.7090590447</v>
      </c>
    </row>
    <row r="45" spans="2:13" x14ac:dyDescent="0.25">
      <c r="B45" s="93" t="s">
        <v>56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</row>
    <row r="46" spans="2:13" x14ac:dyDescent="0.25">
      <c r="B46" s="93" t="s">
        <v>57</v>
      </c>
      <c r="C46" s="64"/>
      <c r="D46" s="69">
        <f t="shared" ref="D46:M46" si="2">+D43-D44</f>
        <v>11797421.5</v>
      </c>
      <c r="E46" s="69">
        <f t="shared" si="2"/>
        <v>12125389.8177</v>
      </c>
      <c r="F46" s="69">
        <f t="shared" si="2"/>
        <v>12462475.654632062</v>
      </c>
      <c r="G46" s="69">
        <f t="shared" si="2"/>
        <v>12808932.477830835</v>
      </c>
      <c r="H46" s="69">
        <f t="shared" si="2"/>
        <v>13165020.80071453</v>
      </c>
      <c r="I46" s="69">
        <f t="shared" si="2"/>
        <v>13531008.378974397</v>
      </c>
      <c r="J46" s="69">
        <f t="shared" si="2"/>
        <v>13907170.411909886</v>
      </c>
      <c r="K46" s="69">
        <f t="shared" si="2"/>
        <v>14293789.74936098</v>
      </c>
      <c r="L46" s="69">
        <f t="shared" si="2"/>
        <v>14691157.104393214</v>
      </c>
      <c r="M46" s="69">
        <f t="shared" si="2"/>
        <v>15099571.271895345</v>
      </c>
    </row>
    <row r="47" spans="2:13" x14ac:dyDescent="0.25">
      <c r="B47" s="93" t="s">
        <v>58</v>
      </c>
      <c r="C47" s="64"/>
      <c r="D47" s="69">
        <f t="shared" ref="D47:M47" si="3">SUM($C$56/$F$38)</f>
        <v>-4805157</v>
      </c>
      <c r="E47" s="69">
        <f t="shared" si="3"/>
        <v>-4805157</v>
      </c>
      <c r="F47" s="69">
        <f t="shared" si="3"/>
        <v>-4805157</v>
      </c>
      <c r="G47" s="69">
        <f t="shared" si="3"/>
        <v>-4805157</v>
      </c>
      <c r="H47" s="69">
        <f t="shared" si="3"/>
        <v>-4805157</v>
      </c>
      <c r="I47" s="69">
        <f t="shared" si="3"/>
        <v>-4805157</v>
      </c>
      <c r="J47" s="69">
        <f t="shared" si="3"/>
        <v>-4805157</v>
      </c>
      <c r="K47" s="69">
        <f t="shared" si="3"/>
        <v>-4805157</v>
      </c>
      <c r="L47" s="69">
        <f t="shared" si="3"/>
        <v>-4805157</v>
      </c>
      <c r="M47" s="69">
        <f t="shared" si="3"/>
        <v>-4805157</v>
      </c>
    </row>
    <row r="48" spans="2:13" x14ac:dyDescent="0.25">
      <c r="B48" s="93" t="s">
        <v>59</v>
      </c>
      <c r="C48" s="64"/>
      <c r="D48" s="69">
        <f t="shared" ref="D48:M48" si="4">+D46+D47</f>
        <v>6992264.5</v>
      </c>
      <c r="E48" s="69">
        <f t="shared" si="4"/>
        <v>7320232.8177000005</v>
      </c>
      <c r="F48" s="69">
        <f t="shared" si="4"/>
        <v>7657318.6546320617</v>
      </c>
      <c r="G48" s="69">
        <f t="shared" si="4"/>
        <v>8003775.4778308347</v>
      </c>
      <c r="H48" s="69">
        <f t="shared" si="4"/>
        <v>8359863.8007145301</v>
      </c>
      <c r="I48" s="69">
        <f t="shared" si="4"/>
        <v>8725851.3789743967</v>
      </c>
      <c r="J48" s="69">
        <f t="shared" si="4"/>
        <v>9102013.4119098857</v>
      </c>
      <c r="K48" s="69">
        <f t="shared" si="4"/>
        <v>9488632.7493609805</v>
      </c>
      <c r="L48" s="69">
        <f t="shared" si="4"/>
        <v>9886000.104393214</v>
      </c>
      <c r="M48" s="69">
        <f t="shared" si="4"/>
        <v>10294414.271895345</v>
      </c>
    </row>
    <row r="49" spans="2:13" x14ac:dyDescent="0.25">
      <c r="B49" s="93" t="s">
        <v>60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spans="2:13" x14ac:dyDescent="0.25">
      <c r="B50" s="93" t="s">
        <v>61</v>
      </c>
      <c r="C50" s="64"/>
      <c r="D50" s="69">
        <f t="shared" ref="D50:M50" si="5">D48</f>
        <v>6992264.5</v>
      </c>
      <c r="E50" s="69">
        <f t="shared" si="5"/>
        <v>7320232.8177000005</v>
      </c>
      <c r="F50" s="69">
        <f t="shared" si="5"/>
        <v>7657318.6546320617</v>
      </c>
      <c r="G50" s="69">
        <f t="shared" si="5"/>
        <v>8003775.4778308347</v>
      </c>
      <c r="H50" s="69">
        <f t="shared" si="5"/>
        <v>8359863.8007145301</v>
      </c>
      <c r="I50" s="69">
        <f t="shared" si="5"/>
        <v>8725851.3789743967</v>
      </c>
      <c r="J50" s="69">
        <f t="shared" si="5"/>
        <v>9102013.4119098857</v>
      </c>
      <c r="K50" s="69">
        <f t="shared" si="5"/>
        <v>9488632.7493609805</v>
      </c>
      <c r="L50" s="69">
        <f t="shared" si="5"/>
        <v>9886000.104393214</v>
      </c>
      <c r="M50" s="69">
        <f t="shared" si="5"/>
        <v>10294414.271895345</v>
      </c>
    </row>
    <row r="51" spans="2:13" x14ac:dyDescent="0.25">
      <c r="B51" s="93" t="s">
        <v>62</v>
      </c>
      <c r="C51" s="64"/>
      <c r="D51" s="67">
        <f t="shared" ref="D51:M51" si="6">+D50*0.25</f>
        <v>1748066.125</v>
      </c>
      <c r="E51" s="67">
        <f t="shared" si="6"/>
        <v>1830058.2044250001</v>
      </c>
      <c r="F51" s="67">
        <f t="shared" si="6"/>
        <v>1914329.6636580154</v>
      </c>
      <c r="G51" s="67">
        <f t="shared" si="6"/>
        <v>2000943.8694577087</v>
      </c>
      <c r="H51" s="67">
        <f t="shared" si="6"/>
        <v>2089965.9501786325</v>
      </c>
      <c r="I51" s="67">
        <f t="shared" si="6"/>
        <v>2181462.8447435992</v>
      </c>
      <c r="J51" s="67">
        <f t="shared" si="6"/>
        <v>2275503.3529774714</v>
      </c>
      <c r="K51" s="67">
        <f t="shared" si="6"/>
        <v>2372158.1873402451</v>
      </c>
      <c r="L51" s="67">
        <f t="shared" si="6"/>
        <v>2471500.0260983035</v>
      </c>
      <c r="M51" s="67">
        <f t="shared" si="6"/>
        <v>2573603.5679738363</v>
      </c>
    </row>
    <row r="52" spans="2:13" x14ac:dyDescent="0.25">
      <c r="B52" s="93" t="s">
        <v>63</v>
      </c>
      <c r="C52" s="64"/>
      <c r="D52" s="67">
        <f t="shared" ref="D52:M52" si="7">+D50-D51</f>
        <v>5244198.375</v>
      </c>
      <c r="E52" s="67">
        <f t="shared" si="7"/>
        <v>5490174.6132750008</v>
      </c>
      <c r="F52" s="67">
        <f t="shared" si="7"/>
        <v>5742988.9909740463</v>
      </c>
      <c r="G52" s="67">
        <f t="shared" si="7"/>
        <v>6002831.608373126</v>
      </c>
      <c r="H52" s="67">
        <f t="shared" si="7"/>
        <v>6269897.8505358975</v>
      </c>
      <c r="I52" s="67">
        <f t="shared" si="7"/>
        <v>6544388.5342307976</v>
      </c>
      <c r="J52" s="67">
        <f t="shared" si="7"/>
        <v>6826510.0589324143</v>
      </c>
      <c r="K52" s="67">
        <f t="shared" si="7"/>
        <v>7116474.5620207358</v>
      </c>
      <c r="L52" s="67">
        <f t="shared" si="7"/>
        <v>7414500.0782949105</v>
      </c>
      <c r="M52" s="67">
        <f t="shared" si="7"/>
        <v>7720810.703921509</v>
      </c>
    </row>
    <row r="53" spans="2:13" x14ac:dyDescent="0.25">
      <c r="B53" s="93" t="s">
        <v>64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spans="2:13" x14ac:dyDescent="0.25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</row>
    <row r="55" spans="2:13" x14ac:dyDescent="0.25">
      <c r="B55" s="93" t="s">
        <v>63</v>
      </c>
      <c r="C55" s="64"/>
      <c r="D55" s="69">
        <f t="shared" ref="D55:M55" si="8">D52</f>
        <v>5244198.375</v>
      </c>
      <c r="E55" s="69">
        <f t="shared" si="8"/>
        <v>5490174.6132750008</v>
      </c>
      <c r="F55" s="69">
        <f t="shared" si="8"/>
        <v>5742988.9909740463</v>
      </c>
      <c r="G55" s="69">
        <f t="shared" si="8"/>
        <v>6002831.608373126</v>
      </c>
      <c r="H55" s="69">
        <f t="shared" si="8"/>
        <v>6269897.8505358975</v>
      </c>
      <c r="I55" s="69">
        <f t="shared" si="8"/>
        <v>6544388.5342307976</v>
      </c>
      <c r="J55" s="69">
        <f t="shared" si="8"/>
        <v>6826510.0589324143</v>
      </c>
      <c r="K55" s="69">
        <f t="shared" si="8"/>
        <v>7116474.5620207358</v>
      </c>
      <c r="L55" s="69">
        <f t="shared" si="8"/>
        <v>7414500.0782949105</v>
      </c>
      <c r="M55" s="69">
        <f t="shared" si="8"/>
        <v>7720810.703921509</v>
      </c>
    </row>
    <row r="56" spans="2:13" x14ac:dyDescent="0.25">
      <c r="B56" s="64" t="s">
        <v>68</v>
      </c>
      <c r="C56" s="69">
        <f>-C9</f>
        <v>-48051570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</row>
    <row r="57" spans="2:13" x14ac:dyDescent="0.25">
      <c r="B57" s="93" t="s">
        <v>69</v>
      </c>
      <c r="C57" s="64"/>
      <c r="D57" s="69">
        <f t="shared" ref="D57:M57" si="9">SUM($C$56/$F$38)*-1</f>
        <v>4805157</v>
      </c>
      <c r="E57" s="69">
        <f t="shared" si="9"/>
        <v>4805157</v>
      </c>
      <c r="F57" s="69">
        <f t="shared" si="9"/>
        <v>4805157</v>
      </c>
      <c r="G57" s="69">
        <f t="shared" si="9"/>
        <v>4805157</v>
      </c>
      <c r="H57" s="69">
        <f t="shared" si="9"/>
        <v>4805157</v>
      </c>
      <c r="I57" s="69">
        <f t="shared" si="9"/>
        <v>4805157</v>
      </c>
      <c r="J57" s="69">
        <f t="shared" si="9"/>
        <v>4805157</v>
      </c>
      <c r="K57" s="69">
        <f t="shared" si="9"/>
        <v>4805157</v>
      </c>
      <c r="L57" s="69">
        <f t="shared" si="9"/>
        <v>4805157</v>
      </c>
      <c r="M57" s="69">
        <f t="shared" si="9"/>
        <v>4805157</v>
      </c>
    </row>
    <row r="58" spans="2:13" x14ac:dyDescent="0.25">
      <c r="B58" s="93" t="s">
        <v>65</v>
      </c>
      <c r="C58" s="64"/>
      <c r="D58" s="84"/>
      <c r="E58" s="84"/>
      <c r="F58" s="84"/>
      <c r="G58" s="84"/>
      <c r="H58" s="84"/>
      <c r="I58" s="84"/>
      <c r="J58" s="84"/>
      <c r="K58" s="84"/>
      <c r="L58" s="84"/>
      <c r="M58" s="84"/>
    </row>
    <row r="59" spans="2:13" x14ac:dyDescent="0.25">
      <c r="B59" s="93" t="s">
        <v>66</v>
      </c>
      <c r="C59" s="64"/>
      <c r="D59" s="69">
        <f t="shared" ref="D59:M59" si="10">+D55+D57</f>
        <v>10049355.375</v>
      </c>
      <c r="E59" s="69">
        <f t="shared" si="10"/>
        <v>10295331.613275001</v>
      </c>
      <c r="F59" s="69">
        <f t="shared" si="10"/>
        <v>10548145.990974046</v>
      </c>
      <c r="G59" s="69">
        <f t="shared" si="10"/>
        <v>10807988.608373126</v>
      </c>
      <c r="H59" s="69">
        <f t="shared" si="10"/>
        <v>11075054.850535898</v>
      </c>
      <c r="I59" s="69">
        <f t="shared" si="10"/>
        <v>11349545.534230798</v>
      </c>
      <c r="J59" s="69">
        <f t="shared" si="10"/>
        <v>11631667.058932414</v>
      </c>
      <c r="K59" s="69">
        <f t="shared" si="10"/>
        <v>11921631.562020736</v>
      </c>
      <c r="L59" s="69">
        <f t="shared" si="10"/>
        <v>12219657.07829491</v>
      </c>
      <c r="M59" s="69">
        <f t="shared" si="10"/>
        <v>12525967.703921508</v>
      </c>
    </row>
    <row r="60" spans="2:13" x14ac:dyDescent="0.25">
      <c r="B60" s="93" t="s">
        <v>67</v>
      </c>
      <c r="C60" s="69">
        <f>C56</f>
        <v>-48051570</v>
      </c>
      <c r="D60" s="69">
        <f t="shared" ref="D60:M60" si="11">+C60+D59</f>
        <v>-38002214.625</v>
      </c>
      <c r="E60" s="69">
        <f t="shared" si="11"/>
        <v>-27706883.011725001</v>
      </c>
      <c r="F60" s="69">
        <f t="shared" si="11"/>
        <v>-17158737.020750955</v>
      </c>
      <c r="G60" s="69">
        <f t="shared" si="11"/>
        <v>-6350748.4123778287</v>
      </c>
      <c r="H60" s="94">
        <f t="shared" si="11"/>
        <v>4724306.4381580688</v>
      </c>
      <c r="I60" s="69">
        <f t="shared" si="11"/>
        <v>16073851.972388867</v>
      </c>
      <c r="J60" s="69">
        <f t="shared" si="11"/>
        <v>27705519.03132128</v>
      </c>
      <c r="K60" s="69">
        <f t="shared" si="11"/>
        <v>39627150.593342014</v>
      </c>
      <c r="L60" s="69">
        <f t="shared" si="11"/>
        <v>51846807.671636924</v>
      </c>
      <c r="M60" s="69">
        <f t="shared" si="11"/>
        <v>64372775.375558436</v>
      </c>
    </row>
    <row r="66" spans="4:6" x14ac:dyDescent="0.25">
      <c r="E66" s="64" t="s">
        <v>74</v>
      </c>
      <c r="F66" s="64" t="s">
        <v>72</v>
      </c>
    </row>
    <row r="67" spans="4:6" x14ac:dyDescent="0.25">
      <c r="E67" s="101">
        <v>0.01</v>
      </c>
      <c r="F67" s="69">
        <f>+$C$60+($D$60/(1+E67)^1)+($E$60/(1+E67)^2)+($F$60/(1+E67)^3)+($G$60/(1+E67)^4)+($H$60/(1+E67)^5)+($I$60/(1+E67)^6)+($J$60/(1+E67)^7)+($K$60/(1+E67)^8)+($L$60/(1+E67)^9)+($M$60/(1+E67)^10)</f>
        <v>52159673.946150154</v>
      </c>
    </row>
    <row r="68" spans="4:6" x14ac:dyDescent="0.25">
      <c r="E68" s="100">
        <v>0.02</v>
      </c>
      <c r="F68" s="69">
        <f t="shared" ref="F68:F69" si="12">+$C$60+($D$60/(1+E68)^1)+($E$60/(1+E68)^2)+($F$60/(1+E68)^3)+($G$60/(1+E68)^4)+($H$60/(1+E68)^5)+($I$60/(1+E68)^6)+($J$60/(1+E68)^7)+($K$60/(1+E68)^8)+($L$60/(1+E68)^9)+($M$60/(1+E68)^10)</f>
        <v>38708164.552284814</v>
      </c>
    </row>
    <row r="69" spans="4:6" x14ac:dyDescent="0.25">
      <c r="E69" s="102">
        <v>0.03</v>
      </c>
      <c r="F69" s="69">
        <f t="shared" si="12"/>
        <v>26573087.149493225</v>
      </c>
    </row>
    <row r="70" spans="4:6" x14ac:dyDescent="0.25">
      <c r="E70" s="100">
        <v>0.04</v>
      </c>
      <c r="F70" s="69">
        <f t="shared" ref="F70:F76" si="13">+$C$60+($D$60/(1+E70)^1)+($E$60/(1+E70)^2)+($F$60/(1+E70)^3)+($G$60/(1+E70)^4)+($H$60/(1+E70)^5)+($I$60/(1+E70)^6)+($J$60/(1+E70)^7)+($K$60/(1+E70)^8)+($L$60/(1+E70)^9)+($M$60/(1+E70)^10)</f>
        <v>15618909.383437477</v>
      </c>
    </row>
    <row r="71" spans="4:6" x14ac:dyDescent="0.25">
      <c r="E71" s="103">
        <f>I38</f>
        <v>5.6286133605540689E-2</v>
      </c>
      <c r="F71" s="94">
        <f>+$C$60+($D$60/(1+E71)^1)+($E$60/(1+E71)^2)+($F$60/(1+E71)^3)+($G$60/(1+E71)^4)+($H$60/(1+E71)^5)+($I$60/(1+E71)^6)+($J$60/(1+E71)^7)+($K$60/(1+E71)^8)+($L$60/(1+E71)^9)+($M$60/(1+E71)^10)</f>
        <v>-6.7055225372314453E-8</v>
      </c>
    </row>
    <row r="72" spans="4:6" x14ac:dyDescent="0.25">
      <c r="D72" s="86"/>
      <c r="E72" s="100">
        <v>7.0000000000000007E-2</v>
      </c>
      <c r="F72" s="69">
        <f>+$C$60+($D$60/(1+E72)^1)+($E$60/(1+E72)^2)+($F$60/(1+E72)^3)+($G$60/(1+E72)^4)+($H$60/(1+E72)^5)+($I$60/(1+E72)^6)+($J$60/(1+E72)^7)+($K$60/(1+E72)^8)+($L$60/(1+E72)^9)+($M$60/(1+E72)^10)</f>
        <v>-11298417.595397457</v>
      </c>
    </row>
    <row r="73" spans="4:6" x14ac:dyDescent="0.25">
      <c r="E73" s="100">
        <v>0.1</v>
      </c>
      <c r="F73" s="69">
        <f>+$C$60+($D$60/(1+E73)^1)+($E$60/(1+E73)^2)+($F$60/(1+E73)^3)+($G$60/(1+E73)^4)+($H$60/(1+E73)^5)+($I$60/(1+E73)^6)+($J$60/(1+E73)^7)+($K$60/(1+E73)^8)+($L$60/(1+E73)^9)+($M$60/(1+E73)^10)</f>
        <v>-31209585.530554734</v>
      </c>
    </row>
    <row r="74" spans="4:6" x14ac:dyDescent="0.25">
      <c r="E74" s="86"/>
      <c r="F74" s="72"/>
    </row>
    <row r="75" spans="4:6" x14ac:dyDescent="0.25">
      <c r="F75" s="7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 post mejora (+ corrección)</vt:lpstr>
      <vt:lpstr>Evaluación financiera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ANDRES GYLLEN PAILLAN</dc:creator>
  <cp:keywords/>
  <dc:description/>
  <cp:lastModifiedBy>MIGUEL ALFONSO SEPULVEDA OSSES</cp:lastModifiedBy>
  <cp:revision/>
  <dcterms:created xsi:type="dcterms:W3CDTF">2026-06-16T22:41:35Z</dcterms:created>
  <dcterms:modified xsi:type="dcterms:W3CDTF">2026-06-24T02:27:11Z</dcterms:modified>
  <cp:category/>
  <cp:contentStatus/>
</cp:coreProperties>
</file>